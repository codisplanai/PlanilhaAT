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EIRO" sheetId="1" state="visible" r:id="rId1"/>
    <sheet name="FEVEREIRO" sheetId="2" state="visible" r:id="rId2"/>
    <sheet name="MARÇO" sheetId="3" state="visible" r:id="rId3"/>
    <sheet name="ABRIL" sheetId="4" state="visible" r:id="rId4"/>
    <sheet name="MAIO" sheetId="5" state="visible" r:id="rId5"/>
    <sheet name="JUNHO" sheetId="6" state="visible" r:id="rId6"/>
    <sheet name="JULHO" sheetId="7" state="visible" r:id="rId7"/>
    <sheet name="AGOSTO" sheetId="8" state="visible" r:id="rId8"/>
    <sheet name="SETEMBRO" sheetId="9" state="visible" r:id="rId9"/>
    <sheet name="OUTUBRO" sheetId="10" state="visible" r:id="rId10"/>
    <sheet name="NOVEMBRO" sheetId="11" state="visible" r:id="rId11"/>
    <sheet name="DEZEMBR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8"/>
    </font>
    <font>
      <name val="Arial"/>
      <b val="1"/>
      <sz val="11"/>
    </font>
    <font>
      <name val="Arial"/>
      <b val="1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E6E6E6"/>
        <bgColor rgb="00E6E6E6"/>
      </patternFill>
    </fill>
    <fill>
      <patternFill patternType="solid">
        <fgColor rgb="00D9D9D9"/>
        <bgColor rgb="00D9D9D9"/>
      </patternFill>
    </fill>
  </fills>
  <borders count="3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  <border>
      <left style="thin">
        <color rgb="00A0A0A0"/>
      </left>
      <right style="thin">
        <color rgb="00A0A0A0"/>
      </right>
      <top style="thin">
        <color rgb="00A0A0A0"/>
      </top>
      <bottom style="double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0" fontId="4" fillId="3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center" vertical="center" wrapText="1"/>
    </xf>
    <xf numFmtId="4" fontId="4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771650" cy="1543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771650" cy="1543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771650" cy="1543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771650" cy="1543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771650" cy="1543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771650" cy="1543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771650" cy="1543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771650" cy="1543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771650" cy="1543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771650" cy="1543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771650" cy="1543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771650" cy="1543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cols>
    <col width="4.5" customWidth="1" min="1" max="1"/>
    <col width="13" customWidth="1" min="2" max="2"/>
    <col width="14" customWidth="1" min="3" max="3"/>
    <col width="12" customWidth="1" min="4" max="4"/>
    <col width="15" customWidth="1" min="5" max="5"/>
    <col width="14" customWidth="1" min="6" max="6"/>
    <col width="14" customWidth="1" min="7" max="7"/>
    <col width="15" customWidth="1" min="8" max="8"/>
    <col width="10" customWidth="1" min="9" max="9"/>
    <col width="10" customWidth="1" min="10" max="10"/>
    <col width="15" customWidth="1" min="11" max="11"/>
    <col width="14" customWidth="1" min="12" max="12"/>
    <col width="16" customWidth="1" min="13" max="13"/>
    <col width="14" customWidth="1" min="14" max="14"/>
    <col width="16" customWidth="1" min="15" max="15"/>
  </cols>
  <sheetData>
    <row r="1" ht="24" customHeight="1">
      <c r="E1" s="1" t="inlineStr">
        <is>
          <t>CÁLCULO DIFERENCIAL DE ALÍQUOTA</t>
        </is>
      </c>
      <c r="N1" s="2" t="inlineStr">
        <is>
          <t>Código: RP-158                        Revisão: 00</t>
        </is>
      </c>
    </row>
    <row r="2" ht="20" customHeight="1">
      <c r="A2" s="3" t="inlineStr">
        <is>
          <t>Empresa:                                                                  I.E.:                                 Comp: 01/2026</t>
        </is>
      </c>
    </row>
    <row r="3" ht="28" customHeight="1">
      <c r="A3" s="4" t="inlineStr"/>
      <c r="B3" s="4" t="inlineStr">
        <is>
          <t>DATA ENTRADA</t>
        </is>
      </c>
      <c r="C3" s="4" t="inlineStr">
        <is>
          <t>DATA EMISSÃO</t>
        </is>
      </c>
      <c r="D3" s="4" t="inlineStr">
        <is>
          <t>N.  FISCAL</t>
        </is>
      </c>
      <c r="E3" s="5" t="inlineStr">
        <is>
          <t xml:space="preserve">   V. CONTÁBIL</t>
        </is>
      </c>
      <c r="F3" s="5" t="inlineStr">
        <is>
          <t xml:space="preserve"> IPI + DESP</t>
        </is>
      </c>
      <c r="G3" s="4" t="inlineStr">
        <is>
          <t>ALIQ. SIMPLES</t>
        </is>
      </c>
      <c r="H3" s="5" t="inlineStr">
        <is>
          <t>B.CÁLCULO</t>
        </is>
      </c>
      <c r="I3" s="5" t="inlineStr">
        <is>
          <t xml:space="preserve">  A. DST</t>
        </is>
      </c>
      <c r="J3" s="5" t="inlineStr">
        <is>
          <t xml:space="preserve">  A.ORI</t>
        </is>
      </c>
      <c r="K3" s="5" t="inlineStr">
        <is>
          <t>DÉBITO</t>
        </is>
      </c>
      <c r="L3" s="5" t="inlineStr">
        <is>
          <t>CRÉDITO</t>
        </is>
      </c>
      <c r="M3" s="5" t="inlineStr">
        <is>
          <t>VR.DEVIDO</t>
        </is>
      </c>
      <c r="N3" s="5" t="inlineStr">
        <is>
          <t>VR. PAGO</t>
        </is>
      </c>
      <c r="O3" s="5" t="inlineStr">
        <is>
          <t>DIFER.</t>
        </is>
      </c>
    </row>
    <row r="4" ht="18" customHeight="1">
      <c r="A4" s="6" t="n"/>
      <c r="B4" s="7" t="n"/>
      <c r="C4" s="7" t="n"/>
      <c r="D4" s="6" t="n"/>
      <c r="E4" s="8" t="n"/>
      <c r="F4" s="8" t="n"/>
      <c r="G4" s="6" t="n"/>
      <c r="H4" s="8">
        <f>IF(G4="",0,(IF(G4="N",((E4+F4)-(E4*J4%))/(1-(I4/100)),IF(G4="S",((E4+F4)/(1-(I4/100))),IF(G4&gt;0,((E4+F4)-(E4*G4))/(1-(I4/100)))))))</f>
        <v/>
      </c>
      <c r="I4" s="9" t="n"/>
      <c r="J4" s="9" t="n"/>
      <c r="K4" s="8">
        <f>H4*I4%</f>
        <v/>
      </c>
      <c r="L4" s="8">
        <f>E4*J4%</f>
        <v/>
      </c>
      <c r="M4" s="8">
        <f>IF(G4="",0,IF(G4="S",H4*((I4-J4)%),IF(G4="N",K4-L4,IF(G4&gt;0,H4*((I4-J4)%)))))</f>
        <v/>
      </c>
      <c r="N4" s="8" t="n"/>
      <c r="O4" s="8">
        <f>M4-N4</f>
        <v/>
      </c>
    </row>
    <row r="5" ht="18" customHeight="1">
      <c r="A5" s="6" t="n"/>
      <c r="B5" s="7" t="n"/>
      <c r="C5" s="7" t="n"/>
      <c r="D5" s="6" t="n"/>
      <c r="E5" s="8" t="n"/>
      <c r="F5" s="8" t="n"/>
      <c r="G5" s="6" t="n"/>
      <c r="H5" s="8">
        <f>IF(G5="",0,(IF(G5="N",((E5+F5)-(E5*J5%))/(1-(I5/100)),IF(G5="S",((E5+F5)/(1-(I5/100))),IF(G5&gt;0,((E5+F5)-(E5*G5))/(1-(I5/100)))))))</f>
        <v/>
      </c>
      <c r="I5" s="9" t="n"/>
      <c r="J5" s="9" t="n"/>
      <c r="K5" s="8">
        <f>H5*I5%</f>
        <v/>
      </c>
      <c r="L5" s="8">
        <f>E5*J5%</f>
        <v/>
      </c>
      <c r="M5" s="8">
        <f>IF(G5="",0,IF(G5="S",H5*((I5-J5)%),IF(G5="N",K5-L5,IF(G5&gt;0,H5*((I5-J5)%)))))</f>
        <v/>
      </c>
      <c r="N5" s="8" t="n"/>
      <c r="O5" s="8">
        <f>M5-N5</f>
        <v/>
      </c>
    </row>
    <row r="6" ht="18" customHeight="1">
      <c r="A6" s="6" t="n"/>
      <c r="B6" s="7" t="n"/>
      <c r="C6" s="7" t="n"/>
      <c r="D6" s="6" t="n"/>
      <c r="E6" s="8" t="n"/>
      <c r="F6" s="8" t="n"/>
      <c r="G6" s="6" t="n"/>
      <c r="H6" s="8">
        <f>IF(G6="",0,(IF(G6="N",((E6+F6)-(E6*J6%))/(1-(I6/100)),IF(G6="S",((E6+F6)/(1-(I6/100))),IF(G6&gt;0,((E6+F6)-(E6*G6))/(1-(I6/100)))))))</f>
        <v/>
      </c>
      <c r="I6" s="9" t="n"/>
      <c r="J6" s="9" t="n"/>
      <c r="K6" s="8">
        <f>H6*I6%</f>
        <v/>
      </c>
      <c r="L6" s="8">
        <f>E6*J6%</f>
        <v/>
      </c>
      <c r="M6" s="8">
        <f>IF(G6="",0,IF(G6="S",H6*((I6-J6)%),IF(G6="N",K6-L6,IF(G6&gt;0,H6*((I6-J6)%)))))</f>
        <v/>
      </c>
      <c r="N6" s="8" t="n"/>
      <c r="O6" s="8">
        <f>M6-N6</f>
        <v/>
      </c>
    </row>
    <row r="7" ht="18" customHeight="1">
      <c r="A7" s="6" t="n"/>
      <c r="B7" s="7" t="n"/>
      <c r="C7" s="7" t="n"/>
      <c r="D7" s="6" t="n"/>
      <c r="E7" s="8" t="n"/>
      <c r="F7" s="8" t="n"/>
      <c r="G7" s="6" t="n"/>
      <c r="H7" s="8">
        <f>IF(G7="",0,(IF(G7="N",((E7+F7)-(E7*J7%))/(1-(I7/100)),IF(G7="S",((E7+F7)/(1-(I7/100))),IF(G7&gt;0,((E7+F7)-(E7*G7))/(1-(I7/100)))))))</f>
        <v/>
      </c>
      <c r="I7" s="9" t="n"/>
      <c r="J7" s="9" t="n"/>
      <c r="K7" s="8">
        <f>H7*I7%</f>
        <v/>
      </c>
      <c r="L7" s="8">
        <f>E7*J7%</f>
        <v/>
      </c>
      <c r="M7" s="8">
        <f>IF(G7="",0,IF(G7="S",H7*((I7-J7)%),IF(G7="N",K7-L7,IF(G7&gt;0,H7*((I7-J7)%)))))</f>
        <v/>
      </c>
      <c r="N7" s="8" t="n"/>
      <c r="O7" s="8">
        <f>M7-N7</f>
        <v/>
      </c>
    </row>
    <row r="8" ht="18" customHeight="1">
      <c r="A8" s="6" t="n"/>
      <c r="B8" s="7" t="n"/>
      <c r="C8" s="7" t="n"/>
      <c r="D8" s="6" t="n"/>
      <c r="E8" s="8" t="n"/>
      <c r="F8" s="8" t="n"/>
      <c r="G8" s="6" t="n"/>
      <c r="H8" s="8">
        <f>IF(G8="",0,(IF(G8="N",((E8+F8)-(E8*J8%))/(1-(I8/100)),IF(G8="S",((E8+F8)/(1-(I8/100))),IF(G8&gt;0,((E8+F8)-(E8*G8))/(1-(I8/100)))))))</f>
        <v/>
      </c>
      <c r="I8" s="9" t="n"/>
      <c r="J8" s="9" t="n"/>
      <c r="K8" s="8">
        <f>H8*I8%</f>
        <v/>
      </c>
      <c r="L8" s="8">
        <f>E8*J8%</f>
        <v/>
      </c>
      <c r="M8" s="8">
        <f>IF(G8="",0,IF(G8="S",H8*((I8-J8)%),IF(G8="N",K8-L8,IF(G8&gt;0,H8*((I8-J8)%)))))</f>
        <v/>
      </c>
      <c r="N8" s="8" t="n"/>
      <c r="O8" s="8">
        <f>M8-N8</f>
        <v/>
      </c>
    </row>
    <row r="9" ht="18" customHeight="1">
      <c r="A9" s="6" t="n"/>
      <c r="B9" s="7" t="n"/>
      <c r="C9" s="7" t="n"/>
      <c r="D9" s="6" t="n"/>
      <c r="E9" s="8" t="n"/>
      <c r="F9" s="8" t="n"/>
      <c r="G9" s="6" t="n"/>
      <c r="H9" s="8">
        <f>IF(G9="",0,(IF(G9="N",((E9+F9)-(E9*J9%))/(1-(I9/100)),IF(G9="S",((E9+F9)/(1-(I9/100))),IF(G9&gt;0,((E9+F9)-(E9*G9))/(1-(I9/100)))))))</f>
        <v/>
      </c>
      <c r="I9" s="9" t="n"/>
      <c r="J9" s="9" t="n"/>
      <c r="K9" s="8">
        <f>H9*I9%</f>
        <v/>
      </c>
      <c r="L9" s="8">
        <f>E9*J9%</f>
        <v/>
      </c>
      <c r="M9" s="8">
        <f>IF(G9="",0,IF(G9="S",H9*((I9-J9)%),IF(G9="N",K9-L9,IF(G9&gt;0,H9*((I9-J9)%)))))</f>
        <v/>
      </c>
      <c r="N9" s="8" t="n"/>
      <c r="O9" s="8">
        <f>M9-N9</f>
        <v/>
      </c>
    </row>
    <row r="10" ht="18" customHeight="1">
      <c r="A10" s="6" t="n"/>
      <c r="B10" s="7" t="n"/>
      <c r="C10" s="7" t="n"/>
      <c r="D10" s="6" t="n"/>
      <c r="E10" s="8" t="n"/>
      <c r="F10" s="8" t="n"/>
      <c r="G10" s="6" t="n"/>
      <c r="H10" s="8">
        <f>IF(G10="",0,(IF(G10="N",((E10+F10)-(E10*J10%))/(1-(I10/100)),IF(G10="S",((E10+F10)/(1-(I10/100))),IF(G10&gt;0,((E10+F10)-(E10*G10))/(1-(I10/100)))))))</f>
        <v/>
      </c>
      <c r="I10" s="9" t="n"/>
      <c r="J10" s="9" t="n"/>
      <c r="K10" s="8">
        <f>H10*I10%</f>
        <v/>
      </c>
      <c r="L10" s="8">
        <f>E10*J10%</f>
        <v/>
      </c>
      <c r="M10" s="8">
        <f>IF(G10="",0,IF(G10="S",H10*((I10-J10)%),IF(G10="N",K10-L10,IF(G10&gt;0,H10*((I10-J10)%)))))</f>
        <v/>
      </c>
      <c r="N10" s="8" t="n"/>
      <c r="O10" s="8">
        <f>M10-N10</f>
        <v/>
      </c>
    </row>
    <row r="11" ht="18" customHeight="1">
      <c r="A11" s="6" t="n"/>
      <c r="B11" s="7" t="n"/>
      <c r="C11" s="7" t="n"/>
      <c r="D11" s="6" t="n"/>
      <c r="E11" s="8" t="n"/>
      <c r="F11" s="8" t="n"/>
      <c r="G11" s="6" t="n"/>
      <c r="H11" s="8">
        <f>IF(G11="",0,(IF(G11="N",((E11+F11)-(E11*J11%))/(1-(I11/100)),IF(G11="S",((E11+F11)/(1-(I11/100))),IF(G11&gt;0,((E11+F11)-(E11*G11))/(1-(I11/100)))))))</f>
        <v/>
      </c>
      <c r="I11" s="9" t="n"/>
      <c r="J11" s="9" t="n"/>
      <c r="K11" s="8">
        <f>H11*I11%</f>
        <v/>
      </c>
      <c r="L11" s="8">
        <f>E11*J11%</f>
        <v/>
      </c>
      <c r="M11" s="8">
        <f>IF(G11="",0,IF(G11="S",H11*((I11-J11)%),IF(G11="N",K11-L11,IF(G11&gt;0,H11*((I11-J11)%)))))</f>
        <v/>
      </c>
      <c r="N11" s="8" t="n"/>
      <c r="O11" s="8">
        <f>M11-N11</f>
        <v/>
      </c>
    </row>
    <row r="12" ht="18" customHeight="1">
      <c r="A12" s="6" t="n"/>
      <c r="B12" s="7" t="n"/>
      <c r="C12" s="7" t="n"/>
      <c r="D12" s="6" t="n"/>
      <c r="E12" s="8" t="n"/>
      <c r="F12" s="8" t="n"/>
      <c r="G12" s="6" t="n"/>
      <c r="H12" s="8">
        <f>IF(G12="",0,(IF(G12="N",((E12+F12)-(E12*J12%))/(1-(I12/100)),IF(G12="S",((E12+F12)/(1-(I12/100))),IF(G12&gt;0,((E12+F12)-(E12*G12))/(1-(I12/100)))))))</f>
        <v/>
      </c>
      <c r="I12" s="9" t="n"/>
      <c r="J12" s="9" t="n"/>
      <c r="K12" s="8">
        <f>H12*I12%</f>
        <v/>
      </c>
      <c r="L12" s="8">
        <f>E12*J12%</f>
        <v/>
      </c>
      <c r="M12" s="8">
        <f>IF(G12="",0,IF(G12="S",H12*((I12-J12)%),IF(G12="N",K12-L12,IF(G12&gt;0,H12*((I12-J12)%)))))</f>
        <v/>
      </c>
      <c r="N12" s="8" t="n"/>
      <c r="O12" s="8">
        <f>M12-N12</f>
        <v/>
      </c>
    </row>
    <row r="13" ht="18" customHeight="1">
      <c r="A13" s="6" t="n"/>
      <c r="B13" s="7" t="n"/>
      <c r="C13" s="7" t="n"/>
      <c r="D13" s="6" t="n"/>
      <c r="E13" s="8" t="n"/>
      <c r="F13" s="8" t="n"/>
      <c r="G13" s="6" t="n"/>
      <c r="H13" s="8">
        <f>IF(G13="",0,(IF(G13="N",((E13+F13)-(E13*J13%))/(1-(I13/100)),IF(G13="S",((E13+F13)/(1-(I13/100))),IF(G13&gt;0,((E13+F13)-(E13*G13))/(1-(I13/100)))))))</f>
        <v/>
      </c>
      <c r="I13" s="9" t="n"/>
      <c r="J13" s="9" t="n"/>
      <c r="K13" s="8">
        <f>H13*I13%</f>
        <v/>
      </c>
      <c r="L13" s="8">
        <f>E13*J13%</f>
        <v/>
      </c>
      <c r="M13" s="8">
        <f>IF(G13="",0,IF(G13="S",H13*((I13-J13)%),IF(G13="N",K13-L13,IF(G13&gt;0,H13*((I13-J13)%)))))</f>
        <v/>
      </c>
      <c r="N13" s="8" t="n"/>
      <c r="O13" s="8">
        <f>M13-N13</f>
        <v/>
      </c>
    </row>
    <row r="14" ht="18" customHeight="1">
      <c r="A14" s="6" t="n"/>
      <c r="B14" s="7" t="n"/>
      <c r="C14" s="7" t="n"/>
      <c r="D14" s="6" t="n"/>
      <c r="E14" s="8" t="n"/>
      <c r="F14" s="8" t="n"/>
      <c r="G14" s="6" t="n"/>
      <c r="H14" s="8">
        <f>IF(G14="",0,(IF(G14="N",((E14+F14)-(E14*J14%))/(1-(I14/100)),IF(G14="S",((E14+F14)/(1-(I14/100))),IF(G14&gt;0,((E14+F14)-(E14*G14))/(1-(I14/100)))))))</f>
        <v/>
      </c>
      <c r="I14" s="9" t="n"/>
      <c r="J14" s="9" t="n"/>
      <c r="K14" s="8">
        <f>H14*I14%</f>
        <v/>
      </c>
      <c r="L14" s="8">
        <f>E14*J14%</f>
        <v/>
      </c>
      <c r="M14" s="8">
        <f>IF(G14="",0,IF(G14="S",H14*((I14-J14)%),IF(G14="N",K14-L14,IF(G14&gt;0,H14*((I14-J14)%)))))</f>
        <v/>
      </c>
      <c r="N14" s="8" t="n"/>
      <c r="O14" s="8">
        <f>M14-N14</f>
        <v/>
      </c>
    </row>
    <row r="15" ht="18" customHeight="1">
      <c r="A15" s="6" t="n"/>
      <c r="B15" s="7" t="n"/>
      <c r="C15" s="7" t="n"/>
      <c r="D15" s="6" t="n"/>
      <c r="E15" s="8" t="n"/>
      <c r="F15" s="8" t="n"/>
      <c r="G15" s="6" t="n"/>
      <c r="H15" s="8">
        <f>IF(G15="",0,(IF(G15="N",((E15+F15)-(E15*J15%))/(1-(I15/100)),IF(G15="S",((E15+F15)/(1-(I15/100))),IF(G15&gt;0,((E15+F15)-(E15*G15))/(1-(I15/100)))))))</f>
        <v/>
      </c>
      <c r="I15" s="9" t="n"/>
      <c r="J15" s="9" t="n"/>
      <c r="K15" s="8">
        <f>H15*I15%</f>
        <v/>
      </c>
      <c r="L15" s="8">
        <f>E15*J15%</f>
        <v/>
      </c>
      <c r="M15" s="8">
        <f>IF(G15="",0,IF(G15="S",H15*((I15-J15)%),IF(G15="N",K15-L15,IF(G15&gt;0,H15*((I15-J15)%)))))</f>
        <v/>
      </c>
      <c r="N15" s="8" t="n"/>
      <c r="O15" s="8">
        <f>M15-N15</f>
        <v/>
      </c>
    </row>
    <row r="16" ht="18" customHeight="1">
      <c r="A16" s="6" t="n"/>
      <c r="B16" s="7" t="n"/>
      <c r="C16" s="7" t="n"/>
      <c r="D16" s="6" t="n"/>
      <c r="E16" s="8" t="n"/>
      <c r="F16" s="8" t="n"/>
      <c r="G16" s="6" t="n"/>
      <c r="H16" s="8">
        <f>IF(G16="",0,(IF(G16="N",((E16+F16)-(E16*J16%))/(1-(I16/100)),IF(G16="S",((E16+F16)/(1-(I16/100))),IF(G16&gt;0,((E16+F16)-(E16*G16))/(1-(I16/100)))))))</f>
        <v/>
      </c>
      <c r="I16" s="9" t="n"/>
      <c r="J16" s="9" t="n"/>
      <c r="K16" s="8">
        <f>H16*I16%</f>
        <v/>
      </c>
      <c r="L16" s="8">
        <f>E16*J16%</f>
        <v/>
      </c>
      <c r="M16" s="8">
        <f>IF(G16="",0,IF(G16="S",H16*((I16-J16)%),IF(G16="N",K16-L16,IF(G16&gt;0,H16*((I16-J16)%)))))</f>
        <v/>
      </c>
      <c r="N16" s="8" t="n"/>
      <c r="O16" s="8">
        <f>M16-N16</f>
        <v/>
      </c>
    </row>
    <row r="17" ht="18" customHeight="1">
      <c r="A17" s="6" t="n"/>
      <c r="B17" s="7" t="n"/>
      <c r="C17" s="7" t="n"/>
      <c r="D17" s="6" t="n"/>
      <c r="E17" s="8" t="n"/>
      <c r="F17" s="8" t="n"/>
      <c r="G17" s="6" t="n"/>
      <c r="H17" s="8">
        <f>IF(G17="",0,(IF(G17="N",((E17+F17)-(E17*J17%))/(1-(I17/100)),IF(G17="S",((E17+F17)/(1-(I17/100))),IF(G17&gt;0,((E17+F17)-(E17*G17))/(1-(I17/100)))))))</f>
        <v/>
      </c>
      <c r="I17" s="9" t="n"/>
      <c r="J17" s="9" t="n"/>
      <c r="K17" s="8">
        <f>H17*I17%</f>
        <v/>
      </c>
      <c r="L17" s="8">
        <f>E17*J17%</f>
        <v/>
      </c>
      <c r="M17" s="8">
        <f>IF(G17="",0,IF(G17="S",H17*((I17-J17)%),IF(G17="N",K17-L17,IF(G17&gt;0,H17*((I17-J17)%)))))</f>
        <v/>
      </c>
      <c r="N17" s="8" t="n"/>
      <c r="O17" s="8">
        <f>M17-N17</f>
        <v/>
      </c>
    </row>
    <row r="18" ht="18" customHeight="1">
      <c r="A18" s="6" t="n"/>
      <c r="B18" s="7" t="n"/>
      <c r="C18" s="7" t="n"/>
      <c r="D18" s="6" t="n"/>
      <c r="E18" s="8" t="n"/>
      <c r="F18" s="8" t="n"/>
      <c r="G18" s="6" t="n"/>
      <c r="H18" s="8">
        <f>IF(G18="",0,(IF(G18="N",((E18+F18)-(E18*J18%))/(1-(I18/100)),IF(G18="S",((E18+F18)/(1-(I18/100))),IF(G18&gt;0,((E18+F18)-(E18*G18))/(1-(I18/100)))))))</f>
        <v/>
      </c>
      <c r="I18" s="9" t="n"/>
      <c r="J18" s="9" t="n"/>
      <c r="K18" s="8">
        <f>H18*I18%</f>
        <v/>
      </c>
      <c r="L18" s="8">
        <f>E18*J18%</f>
        <v/>
      </c>
      <c r="M18" s="8">
        <f>IF(G18="",0,IF(G18="S",H18*((I18-J18)%),IF(G18="N",K18-L18,IF(G18&gt;0,H18*((I18-J18)%)))))</f>
        <v/>
      </c>
      <c r="N18" s="8" t="n"/>
      <c r="O18" s="8">
        <f>M18-N18</f>
        <v/>
      </c>
    </row>
    <row r="19" ht="18" customHeight="1">
      <c r="A19" s="6" t="n"/>
      <c r="B19" s="7" t="n"/>
      <c r="C19" s="7" t="n"/>
      <c r="D19" s="6" t="n"/>
      <c r="E19" s="8" t="n"/>
      <c r="F19" s="8" t="n"/>
      <c r="G19" s="6" t="n"/>
      <c r="H19" s="8">
        <f>IF(G19="",0,(IF(G19="N",((E19+F19)-(E19*J19%))/(1-(I19/100)),IF(G19="S",((E19+F19)/(1-(I19/100))),IF(G19&gt;0,((E19+F19)-(E19*G19))/(1-(I19/100)))))))</f>
        <v/>
      </c>
      <c r="I19" s="9" t="n"/>
      <c r="J19" s="9" t="n"/>
      <c r="K19" s="8">
        <f>H19*I19%</f>
        <v/>
      </c>
      <c r="L19" s="8">
        <f>E19*J19%</f>
        <v/>
      </c>
      <c r="M19" s="8">
        <f>IF(G19="",0,IF(G19="S",H19*((I19-J19)%),IF(G19="N",K19-L19,IF(G19&gt;0,H19*((I19-J19)%)))))</f>
        <v/>
      </c>
      <c r="N19" s="8" t="n"/>
      <c r="O19" s="8">
        <f>M19-N19</f>
        <v/>
      </c>
    </row>
    <row r="20" ht="18" customHeight="1">
      <c r="A20" s="6" t="n"/>
      <c r="B20" s="7" t="n"/>
      <c r="C20" s="7" t="n"/>
      <c r="D20" s="6" t="n"/>
      <c r="E20" s="8" t="n"/>
      <c r="F20" s="8" t="n"/>
      <c r="G20" s="6" t="n"/>
      <c r="H20" s="8">
        <f>IF(G20="",0,(IF(G20="N",((E20+F20)-(E20*J20%))/(1-(I20/100)),IF(G20="S",((E20+F20)/(1-(I20/100))),IF(G20&gt;0,((E20+F20)-(E20*G20))/(1-(I20/100)))))))</f>
        <v/>
      </c>
      <c r="I20" s="9" t="n"/>
      <c r="J20" s="9" t="n"/>
      <c r="K20" s="8">
        <f>H20*I20%</f>
        <v/>
      </c>
      <c r="L20" s="8">
        <f>E20*J20%</f>
        <v/>
      </c>
      <c r="M20" s="8">
        <f>IF(G20="",0,IF(G20="S",H20*((I20-J20)%),IF(G20="N",K20-L20,IF(G20&gt;0,H20*((I20-J20)%)))))</f>
        <v/>
      </c>
      <c r="N20" s="8" t="n"/>
      <c r="O20" s="8">
        <f>M20-N20</f>
        <v/>
      </c>
    </row>
    <row r="21" ht="18" customHeight="1">
      <c r="A21" s="6" t="n"/>
      <c r="B21" s="7" t="n"/>
      <c r="C21" s="7" t="n"/>
      <c r="D21" s="6" t="n"/>
      <c r="E21" s="8" t="n"/>
      <c r="F21" s="8" t="n"/>
      <c r="G21" s="6" t="n"/>
      <c r="H21" s="8">
        <f>IF(G21="",0,(IF(G21="N",((E21+F21)-(E21*J21%))/(1-(I21/100)),IF(G21="S",((E21+F21)/(1-(I21/100))),IF(G21&gt;0,((E21+F21)-(E21*G21))/(1-(I21/100)))))))</f>
        <v/>
      </c>
      <c r="I21" s="9" t="n"/>
      <c r="J21" s="9" t="n"/>
      <c r="K21" s="8">
        <f>H21*I21%</f>
        <v/>
      </c>
      <c r="L21" s="8">
        <f>E21*J21%</f>
        <v/>
      </c>
      <c r="M21" s="8">
        <f>IF(G21="",0,IF(G21="S",H21*((I21-J21)%),IF(G21="N",K21-L21,IF(G21&gt;0,H21*((I21-J21)%)))))</f>
        <v/>
      </c>
      <c r="N21" s="8" t="n"/>
      <c r="O21" s="8">
        <f>M21-N21</f>
        <v/>
      </c>
    </row>
    <row r="22" ht="18" customHeight="1">
      <c r="A22" s="6" t="n"/>
      <c r="B22" s="7" t="n"/>
      <c r="C22" s="7" t="n"/>
      <c r="D22" s="6" t="n"/>
      <c r="E22" s="8" t="n"/>
      <c r="F22" s="8" t="n"/>
      <c r="G22" s="6" t="n"/>
      <c r="H22" s="8">
        <f>IF(G22="",0,(IF(G22="N",((E22+F22)-(E22*J22%))/(1-(I22/100)),IF(G22="S",((E22+F22)/(1-(I22/100))),IF(G22&gt;0,((E22+F22)-(E22*G22))/(1-(I22/100)))))))</f>
        <v/>
      </c>
      <c r="I22" s="9" t="n"/>
      <c r="J22" s="9" t="n"/>
      <c r="K22" s="8">
        <f>H22*I22%</f>
        <v/>
      </c>
      <c r="L22" s="8">
        <f>E22*J22%</f>
        <v/>
      </c>
      <c r="M22" s="8">
        <f>IF(G22="",0,IF(G22="S",H22*((I22-J22)%),IF(G22="N",K22-L22,IF(G22&gt;0,H22*((I22-J22)%)))))</f>
        <v/>
      </c>
      <c r="N22" s="8" t="n"/>
      <c r="O22" s="8">
        <f>M22-N22</f>
        <v/>
      </c>
    </row>
    <row r="23" ht="18" customHeight="1">
      <c r="A23" s="6" t="n"/>
      <c r="B23" s="7" t="n"/>
      <c r="C23" s="7" t="n"/>
      <c r="D23" s="6" t="n"/>
      <c r="E23" s="8" t="n"/>
      <c r="F23" s="8" t="n"/>
      <c r="G23" s="6" t="n"/>
      <c r="H23" s="8">
        <f>IF(G23="",0,(IF(G23="N",((E23+F23)-(E23*J23%))/(1-(I23/100)),IF(G23="S",((E23+F23)/(1-(I23/100))),IF(G23&gt;0,((E23+F23)-(E23*G23))/(1-(I23/100)))))))</f>
        <v/>
      </c>
      <c r="I23" s="9" t="n"/>
      <c r="J23" s="9" t="n"/>
      <c r="K23" s="8">
        <f>H23*I23%</f>
        <v/>
      </c>
      <c r="L23" s="8">
        <f>E23*J23%</f>
        <v/>
      </c>
      <c r="M23" s="8">
        <f>IF(G23="",0,IF(G23="S",H23*((I23-J23)%),IF(G23="N",K23-L23,IF(G23&gt;0,H23*((I23-J23)%)))))</f>
        <v/>
      </c>
      <c r="N23" s="8" t="n"/>
      <c r="O23" s="8">
        <f>M23-N23</f>
        <v/>
      </c>
    </row>
    <row r="24" ht="18" customHeight="1">
      <c r="A24" s="6" t="n"/>
      <c r="B24" s="7" t="n"/>
      <c r="C24" s="7" t="n"/>
      <c r="D24" s="6" t="n"/>
      <c r="E24" s="8" t="n"/>
      <c r="F24" s="8" t="n"/>
      <c r="G24" s="6" t="n"/>
      <c r="H24" s="8">
        <f>IF(G24="",0,(IF(G24="N",((E24+F24)-(E24*J24%))/(1-(I24/100)),IF(G24="S",((E24+F24)/(1-(I24/100))),IF(G24&gt;0,((E24+F24)-(E24*G24))/(1-(I24/100)))))))</f>
        <v/>
      </c>
      <c r="I24" s="9" t="n"/>
      <c r="J24" s="9" t="n"/>
      <c r="K24" s="8">
        <f>H24*I24%</f>
        <v/>
      </c>
      <c r="L24" s="8">
        <f>E24*J24%</f>
        <v/>
      </c>
      <c r="M24" s="8">
        <f>IF(G24="",0,IF(G24="S",H24*((I24-J24)%),IF(G24="N",K24-L24,IF(G24&gt;0,H24*((I24-J24)%)))))</f>
        <v/>
      </c>
      <c r="N24" s="8" t="n"/>
      <c r="O24" s="8">
        <f>M24-N24</f>
        <v/>
      </c>
    </row>
    <row r="25" ht="18" customHeight="1">
      <c r="A25" s="6" t="n"/>
      <c r="B25" s="7" t="n"/>
      <c r="C25" s="7" t="n"/>
      <c r="D25" s="6" t="n"/>
      <c r="E25" s="8" t="n"/>
      <c r="F25" s="8" t="n"/>
      <c r="G25" s="6" t="n"/>
      <c r="H25" s="8">
        <f>IF(G25="",0,(IF(G25="N",((E25+F25)-(E25*J25%))/(1-(I25/100)),IF(G25="S",((E25+F25)/(1-(I25/100))),IF(G25&gt;0,((E25+F25)-(E25*G25))/(1-(I25/100)))))))</f>
        <v/>
      </c>
      <c r="I25" s="9" t="n"/>
      <c r="J25" s="9" t="n"/>
      <c r="K25" s="8">
        <f>H25*I25%</f>
        <v/>
      </c>
      <c r="L25" s="8">
        <f>E25*J25%</f>
        <v/>
      </c>
      <c r="M25" s="8">
        <f>IF(G25="",0,IF(G25="S",H25*((I25-J25)%),IF(G25="N",K25-L25,IF(G25&gt;0,H25*((I25-J25)%)))))</f>
        <v/>
      </c>
      <c r="N25" s="8" t="n"/>
      <c r="O25" s="8">
        <f>M25-N25</f>
        <v/>
      </c>
    </row>
    <row r="26" ht="18" customHeight="1">
      <c r="A26" s="6" t="n"/>
      <c r="B26" s="7" t="n"/>
      <c r="C26" s="7" t="n"/>
      <c r="D26" s="6" t="n"/>
      <c r="E26" s="8" t="n"/>
      <c r="F26" s="8" t="n"/>
      <c r="G26" s="6" t="n"/>
      <c r="H26" s="8">
        <f>IF(G26="",0,(IF(G26="N",((E26+F26)-(E26*J26%))/(1-(I26/100)),IF(G26="S",((E26+F26)/(1-(I26/100))),IF(G26&gt;0,((E26+F26)-(E26*G26))/(1-(I26/100)))))))</f>
        <v/>
      </c>
      <c r="I26" s="9" t="n"/>
      <c r="J26" s="9" t="n"/>
      <c r="K26" s="8">
        <f>H26*I26%</f>
        <v/>
      </c>
      <c r="L26" s="8">
        <f>E26*J26%</f>
        <v/>
      </c>
      <c r="M26" s="8">
        <f>IF(G26="",0,IF(G26="S",H26*((I26-J26)%),IF(G26="N",K26-L26,IF(G26&gt;0,H26*((I26-J26)%)))))</f>
        <v/>
      </c>
      <c r="N26" s="8" t="n"/>
      <c r="O26" s="8">
        <f>M26-N26</f>
        <v/>
      </c>
    </row>
    <row r="27" ht="18" customHeight="1">
      <c r="A27" s="6" t="n"/>
      <c r="B27" s="7" t="n"/>
      <c r="C27" s="7" t="n"/>
      <c r="D27" s="6" t="n"/>
      <c r="E27" s="8" t="n"/>
      <c r="F27" s="8" t="n"/>
      <c r="G27" s="6" t="n"/>
      <c r="H27" s="8">
        <f>IF(G27="",0,(IF(G27="N",((E27+F27)-(E27*J27%))/(1-(I27/100)),IF(G27="S",((E27+F27)/(1-(I27/100))),IF(G27&gt;0,((E27+F27)-(E27*G27))/(1-(I27/100)))))))</f>
        <v/>
      </c>
      <c r="I27" s="9" t="n"/>
      <c r="J27" s="9" t="n"/>
      <c r="K27" s="8">
        <f>H27*I27%</f>
        <v/>
      </c>
      <c r="L27" s="8">
        <f>E27*J27%</f>
        <v/>
      </c>
      <c r="M27" s="8">
        <f>IF(G27="",0,IF(G27="S",H27*((I27-J27)%),IF(G27="N",K27-L27,IF(G27&gt;0,H27*((I27-J27)%)))))</f>
        <v/>
      </c>
      <c r="N27" s="8" t="n"/>
      <c r="O27" s="8">
        <f>M27-N27</f>
        <v/>
      </c>
    </row>
    <row r="28" ht="18" customHeight="1">
      <c r="A28" s="6" t="n"/>
      <c r="B28" s="7" t="n"/>
      <c r="C28" s="7" t="n"/>
      <c r="D28" s="6" t="n"/>
      <c r="E28" s="8" t="n"/>
      <c r="F28" s="8" t="n"/>
      <c r="G28" s="6" t="n"/>
      <c r="H28" s="8">
        <f>IF(G28="",0,(IF(G28="N",((E28+F28)-(E28*J28%))/(1-(I28/100)),IF(G28="S",((E28+F28)/(1-(I28/100))),IF(G28&gt;0,((E28+F28)-(E28*G28))/(1-(I28/100)))))))</f>
        <v/>
      </c>
      <c r="I28" s="9" t="n"/>
      <c r="J28" s="9" t="n"/>
      <c r="K28" s="8">
        <f>H28*I28%</f>
        <v/>
      </c>
      <c r="L28" s="8">
        <f>E28*J28%</f>
        <v/>
      </c>
      <c r="M28" s="8">
        <f>IF(G28="",0,IF(G28="S",H28*((I28-J28)%),IF(G28="N",K28-L28,IF(G28&gt;0,H28*((I28-J28)%)))))</f>
        <v/>
      </c>
      <c r="N28" s="8" t="n"/>
      <c r="O28" s="8">
        <f>M28-N28</f>
        <v/>
      </c>
    </row>
    <row r="29" ht="18" customHeight="1">
      <c r="A29" s="6" t="n"/>
      <c r="B29" s="7" t="n"/>
      <c r="C29" s="7" t="n"/>
      <c r="D29" s="6" t="n"/>
      <c r="E29" s="8" t="n"/>
      <c r="F29" s="8" t="n"/>
      <c r="G29" s="6" t="n"/>
      <c r="H29" s="8">
        <f>IF(G29="",0,(IF(G29="N",((E29+F29)-(E29*J29%))/(1-(I29/100)),IF(G29="S",((E29+F29)/(1-(I29/100))),IF(G29&gt;0,((E29+F29)-(E29*G29))/(1-(I29/100)))))))</f>
        <v/>
      </c>
      <c r="I29" s="9" t="n"/>
      <c r="J29" s="9" t="n"/>
      <c r="K29" s="8">
        <f>H29*I29%</f>
        <v/>
      </c>
      <c r="L29" s="8">
        <f>E29*J29%</f>
        <v/>
      </c>
      <c r="M29" s="8">
        <f>IF(G29="",0,IF(G29="S",H29*((I29-J29)%),IF(G29="N",K29-L29,IF(G29&gt;0,H29*((I29-J29)%)))))</f>
        <v/>
      </c>
      <c r="N29" s="8" t="n"/>
      <c r="O29" s="8">
        <f>M29-N29</f>
        <v/>
      </c>
    </row>
    <row r="30" ht="18" customHeight="1">
      <c r="A30" s="6" t="n"/>
      <c r="B30" s="7" t="n"/>
      <c r="C30" s="7" t="n"/>
      <c r="D30" s="6" t="n"/>
      <c r="E30" s="8" t="n"/>
      <c r="F30" s="8" t="n"/>
      <c r="G30" s="6" t="n"/>
      <c r="H30" s="8">
        <f>IF(G30="",0,(IF(G30="N",((E30+F30)-(E30*J30%))/(1-(I30/100)),IF(G30="S",((E30+F30)/(1-(I30/100))),IF(G30&gt;0,((E30+F30)-(E30*G30))/(1-(I30/100)))))))</f>
        <v/>
      </c>
      <c r="I30" s="9" t="n"/>
      <c r="J30" s="9" t="n"/>
      <c r="K30" s="8">
        <f>H30*I30%</f>
        <v/>
      </c>
      <c r="L30" s="8">
        <f>E30*J30%</f>
        <v/>
      </c>
      <c r="M30" s="8">
        <f>IF(G30="",0,IF(G30="S",H30*((I30-J30)%),IF(G30="N",K30-L30,IF(G30&gt;0,H30*((I30-J30)%)))))</f>
        <v/>
      </c>
      <c r="N30" s="8" t="n"/>
      <c r="O30" s="8">
        <f>M30-N30</f>
        <v/>
      </c>
    </row>
    <row r="31" ht="18" customHeight="1">
      <c r="A31" s="6" t="n"/>
      <c r="B31" s="7" t="n"/>
      <c r="C31" s="7" t="n"/>
      <c r="D31" s="6" t="n"/>
      <c r="E31" s="8" t="n"/>
      <c r="F31" s="8" t="n"/>
      <c r="G31" s="6" t="n"/>
      <c r="H31" s="8">
        <f>IF(G31="",0,(IF(G31="N",((E31+F31)-(E31*J31%))/(1-(I31/100)),IF(G31="S",((E31+F31)/(1-(I31/100))),IF(G31&gt;0,((E31+F31)-(E31*G31))/(1-(I31/100)))))))</f>
        <v/>
      </c>
      <c r="I31" s="9" t="n"/>
      <c r="J31" s="9" t="n"/>
      <c r="K31" s="8">
        <f>H31*I31%</f>
        <v/>
      </c>
      <c r="L31" s="8">
        <f>E31*J31%</f>
        <v/>
      </c>
      <c r="M31" s="8">
        <f>IF(G31="",0,IF(G31="S",H31*((I31-J31)%),IF(G31="N",K31-L31,IF(G31&gt;0,H31*((I31-J31)%)))))</f>
        <v/>
      </c>
      <c r="N31" s="8" t="n"/>
      <c r="O31" s="8">
        <f>M31-N31</f>
        <v/>
      </c>
    </row>
    <row r="32" ht="18" customHeight="1">
      <c r="A32" s="6" t="n"/>
      <c r="B32" s="7" t="n"/>
      <c r="C32" s="7" t="n"/>
      <c r="D32" s="6" t="n"/>
      <c r="E32" s="8" t="n"/>
      <c r="F32" s="8" t="n"/>
      <c r="G32" s="6" t="n"/>
      <c r="H32" s="8">
        <f>IF(G32="",0,(IF(G32="N",((E32+F32)-(E32*J32%))/(1-(I32/100)),IF(G32="S",((E32+F32)/(1-(I32/100))),IF(G32&gt;0,((E32+F32)-(E32*G32))/(1-(I32/100)))))))</f>
        <v/>
      </c>
      <c r="I32" s="9" t="n"/>
      <c r="J32" s="9" t="n"/>
      <c r="K32" s="8">
        <f>H32*I32%</f>
        <v/>
      </c>
      <c r="L32" s="8">
        <f>E32*J32%</f>
        <v/>
      </c>
      <c r="M32" s="8">
        <f>IF(G32="",0,IF(G32="S",H32*((I32-J32)%),IF(G32="N",K32-L32,IF(G32&gt;0,H32*((I32-J32)%)))))</f>
        <v/>
      </c>
      <c r="N32" s="8" t="n"/>
      <c r="O32" s="8">
        <f>M32-N32</f>
        <v/>
      </c>
    </row>
    <row r="33" ht="18" customHeight="1">
      <c r="A33" s="6" t="n"/>
      <c r="B33" s="7" t="n"/>
      <c r="C33" s="7" t="n"/>
      <c r="D33" s="6" t="n"/>
      <c r="E33" s="8" t="n"/>
      <c r="F33" s="8" t="n"/>
      <c r="G33" s="6" t="n"/>
      <c r="H33" s="8">
        <f>IF(G33="",0,(IF(G33="N",((E33+F33)-(E33*J33%))/(1-(I33/100)),IF(G33="S",((E33+F33)/(1-(I33/100))),IF(G33&gt;0,((E33+F33)-(E33*G33))/(1-(I33/100)))))))</f>
        <v/>
      </c>
      <c r="I33" s="9" t="n"/>
      <c r="J33" s="9" t="n"/>
      <c r="K33" s="8">
        <f>H33*I33%</f>
        <v/>
      </c>
      <c r="L33" s="8">
        <f>E33*J33%</f>
        <v/>
      </c>
      <c r="M33" s="8">
        <f>IF(G33="",0,IF(G33="S",H33*((I33-J33)%),IF(G33="N",K33-L33,IF(G33&gt;0,H33*((I33-J33)%)))))</f>
        <v/>
      </c>
      <c r="N33" s="8" t="n"/>
      <c r="O33" s="8">
        <f>M33-N33</f>
        <v/>
      </c>
    </row>
    <row r="34" ht="18" customHeight="1">
      <c r="A34" s="6" t="n"/>
      <c r="B34" s="7" t="n"/>
      <c r="C34" s="7" t="n"/>
      <c r="D34" s="6" t="n"/>
      <c r="E34" s="8" t="n"/>
      <c r="F34" s="8" t="n"/>
      <c r="G34" s="6" t="n"/>
      <c r="H34" s="8">
        <f>IF(G34="",0,(IF(G34="N",((E34+F34)-(E34*J34%))/(1-(I34/100)),IF(G34="S",((E34+F34)/(1-(I34/100))),IF(G34&gt;0,((E34+F34)-(E34*G34))/(1-(I34/100)))))))</f>
        <v/>
      </c>
      <c r="I34" s="9" t="n"/>
      <c r="J34" s="9" t="n"/>
      <c r="K34" s="8">
        <f>H34*I34%</f>
        <v/>
      </c>
      <c r="L34" s="8">
        <f>E34*J34%</f>
        <v/>
      </c>
      <c r="M34" s="8">
        <f>IF(G34="",0,IF(G34="S",H34*((I34-J34)%),IF(G34="N",K34-L34,IF(G34&gt;0,H34*((I34-J34)%)))))</f>
        <v/>
      </c>
      <c r="N34" s="8" t="n"/>
      <c r="O34" s="8">
        <f>M34-N34</f>
        <v/>
      </c>
    </row>
    <row r="35" ht="18" customHeight="1">
      <c r="A35" s="6" t="n"/>
      <c r="B35" s="7" t="n"/>
      <c r="C35" s="7" t="n"/>
      <c r="D35" s="6" t="n"/>
      <c r="E35" s="8" t="n"/>
      <c r="F35" s="8" t="n"/>
      <c r="G35" s="6" t="n"/>
      <c r="H35" s="8">
        <f>IF(G35="",0,(IF(G35="N",((E35+F35)-(E35*J35%))/(1-(I35/100)),IF(G35="S",((E35+F35)/(1-(I35/100))),IF(G35&gt;0,((E35+F35)-(E35*G35))/(1-(I35/100)))))))</f>
        <v/>
      </c>
      <c r="I35" s="9" t="n"/>
      <c r="J35" s="9" t="n"/>
      <c r="K35" s="8">
        <f>H35*I35%</f>
        <v/>
      </c>
      <c r="L35" s="8">
        <f>E35*J35%</f>
        <v/>
      </c>
      <c r="M35" s="8">
        <f>IF(G35="",0,IF(G35="S",H35*((I35-J35)%),IF(G35="N",K35-L35,IF(G35&gt;0,H35*((I35-J35)%)))))</f>
        <v/>
      </c>
      <c r="N35" s="8" t="n"/>
      <c r="O35" s="8">
        <f>M35-N35</f>
        <v/>
      </c>
    </row>
    <row r="36" ht="18" customHeight="1">
      <c r="A36" s="6" t="n"/>
      <c r="B36" s="7" t="n"/>
      <c r="C36" s="7" t="n"/>
      <c r="D36" s="6" t="n"/>
      <c r="E36" s="8" t="n"/>
      <c r="F36" s="8" t="n"/>
      <c r="G36" s="6" t="n"/>
      <c r="H36" s="8">
        <f>IF(G36="",0,(IF(G36="N",((E36+F36)-(E36*J36%))/(1-(I36/100)),IF(G36="S",((E36+F36)/(1-(I36/100))),IF(G36&gt;0,((E36+F36)-(E36*G36))/(1-(I36/100)))))))</f>
        <v/>
      </c>
      <c r="I36" s="9" t="n"/>
      <c r="J36" s="9" t="n"/>
      <c r="K36" s="8">
        <f>H36*I36%</f>
        <v/>
      </c>
      <c r="L36" s="8">
        <f>E36*J36%</f>
        <v/>
      </c>
      <c r="M36" s="8">
        <f>IF(G36="",0,IF(G36="S",H36*((I36-J36)%),IF(G36="N",K36-L36,IF(G36&gt;0,H36*((I36-J36)%)))))</f>
        <v/>
      </c>
      <c r="N36" s="8" t="n"/>
      <c r="O36" s="8">
        <f>M36-N36</f>
        <v/>
      </c>
    </row>
    <row r="37" ht="18" customHeight="1">
      <c r="A37" s="6" t="n"/>
      <c r="B37" s="7" t="n"/>
      <c r="C37" s="7" t="n"/>
      <c r="D37" s="6" t="n"/>
      <c r="E37" s="8" t="n"/>
      <c r="F37" s="8" t="n"/>
      <c r="G37" s="6" t="n"/>
      <c r="H37" s="8">
        <f>IF(G37="",0,(IF(G37="N",((E37+F37)-(E37*J37%))/(1-(I37/100)),IF(G37="S",((E37+F37)/(1-(I37/100))),IF(G37&gt;0,((E37+F37)-(E37*G37))/(1-(I37/100)))))))</f>
        <v/>
      </c>
      <c r="I37" s="9" t="n"/>
      <c r="J37" s="9" t="n"/>
      <c r="K37" s="8">
        <f>H37*I37%</f>
        <v/>
      </c>
      <c r="L37" s="8">
        <f>E37*J37%</f>
        <v/>
      </c>
      <c r="M37" s="8">
        <f>IF(G37="",0,IF(G37="S",H37*((I37-J37)%),IF(G37="N",K37-L37,IF(G37&gt;0,H37*((I37-J37)%)))))</f>
        <v/>
      </c>
      <c r="N37" s="8" t="n"/>
      <c r="O37" s="8">
        <f>M37-N37</f>
        <v/>
      </c>
    </row>
    <row r="38" ht="18" customHeight="1">
      <c r="A38" s="6" t="n"/>
      <c r="B38" s="7" t="n"/>
      <c r="C38" s="7" t="n"/>
      <c r="D38" s="6" t="n"/>
      <c r="E38" s="8" t="n"/>
      <c r="F38" s="8" t="n"/>
      <c r="G38" s="6" t="n"/>
      <c r="H38" s="8">
        <f>IF(G38="",0,(IF(G38="N",((E38+F38)-(E38*J38%))/(1-(I38/100)),IF(G38="S",((E38+F38)/(1-(I38/100))),IF(G38&gt;0,((E38+F38)-(E38*G38))/(1-(I38/100)))))))</f>
        <v/>
      </c>
      <c r="I38" s="9" t="n"/>
      <c r="J38" s="9" t="n"/>
      <c r="K38" s="8">
        <f>H38*I38%</f>
        <v/>
      </c>
      <c r="L38" s="8">
        <f>E38*J38%</f>
        <v/>
      </c>
      <c r="M38" s="8">
        <f>IF(G38="",0,IF(G38="S",H38*((I38-J38)%),IF(G38="N",K38-L38,IF(G38&gt;0,H38*((I38-J38)%)))))</f>
        <v/>
      </c>
      <c r="N38" s="8" t="n"/>
      <c r="O38" s="8">
        <f>M38-N38</f>
        <v/>
      </c>
    </row>
    <row r="39" ht="20" customHeight="1">
      <c r="A39" s="10" t="n"/>
      <c r="B39" s="10" t="n"/>
      <c r="C39" s="10" t="n"/>
      <c r="D39" s="11" t="inlineStr">
        <is>
          <t>TOTAL</t>
        </is>
      </c>
      <c r="E39" s="12">
        <f>SUM(E4:E38)</f>
        <v/>
      </c>
      <c r="F39" s="12">
        <f>SUM(F4:F38)</f>
        <v/>
      </c>
      <c r="G39" s="10" t="n"/>
      <c r="H39" s="12">
        <f>SUM(H4:H38)</f>
        <v/>
      </c>
      <c r="I39" s="10" t="n"/>
      <c r="J39" s="10" t="n"/>
      <c r="K39" s="12">
        <f>SUM(K4:K38)</f>
        <v/>
      </c>
      <c r="L39" s="12">
        <f>SUM(L4:L38)</f>
        <v/>
      </c>
      <c r="M39" s="12">
        <f>SUM(M4:M38)</f>
        <v/>
      </c>
      <c r="N39" s="12">
        <f>SUM(N4:N38)</f>
        <v/>
      </c>
      <c r="O39" s="12">
        <f>SUM(O4:O38)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cols>
    <col width="4.5" customWidth="1" min="1" max="1"/>
    <col width="13" customWidth="1" min="2" max="2"/>
    <col width="14" customWidth="1" min="3" max="3"/>
    <col width="12" customWidth="1" min="4" max="4"/>
    <col width="15" customWidth="1" min="5" max="5"/>
    <col width="14" customWidth="1" min="6" max="6"/>
    <col width="14" customWidth="1" min="7" max="7"/>
    <col width="15" customWidth="1" min="8" max="8"/>
    <col width="10" customWidth="1" min="9" max="9"/>
    <col width="10" customWidth="1" min="10" max="10"/>
    <col width="15" customWidth="1" min="11" max="11"/>
    <col width="14" customWidth="1" min="12" max="12"/>
    <col width="16" customWidth="1" min="13" max="13"/>
    <col width="14" customWidth="1" min="14" max="14"/>
    <col width="16" customWidth="1" min="15" max="15"/>
  </cols>
  <sheetData>
    <row r="1" ht="24" customHeight="1">
      <c r="E1" s="1" t="inlineStr">
        <is>
          <t>CÁLCULO DIFERENCIAL DE ALÍQUOTA</t>
        </is>
      </c>
      <c r="N1" s="2" t="inlineStr">
        <is>
          <t>Código: RP-158                        Revisão: 00</t>
        </is>
      </c>
    </row>
    <row r="2" ht="20" customHeight="1">
      <c r="A2" s="3" t="inlineStr">
        <is>
          <t>Empresa:                                                                  I.E.:                                 Comp: 02/2026</t>
        </is>
      </c>
    </row>
    <row r="3" ht="28" customHeight="1">
      <c r="A3" s="4" t="inlineStr"/>
      <c r="B3" s="4" t="inlineStr">
        <is>
          <t>DATA ENTRADA</t>
        </is>
      </c>
      <c r="C3" s="4" t="inlineStr">
        <is>
          <t>DATA EMISSÃO</t>
        </is>
      </c>
      <c r="D3" s="4" t="inlineStr">
        <is>
          <t>N.  FISCAL</t>
        </is>
      </c>
      <c r="E3" s="5" t="inlineStr">
        <is>
          <t xml:space="preserve">   V. CONTÁBIL</t>
        </is>
      </c>
      <c r="F3" s="5" t="inlineStr">
        <is>
          <t xml:space="preserve"> IPI + DESP</t>
        </is>
      </c>
      <c r="G3" s="4" t="inlineStr">
        <is>
          <t>ALIQ. SIMPLES</t>
        </is>
      </c>
      <c r="H3" s="5" t="inlineStr">
        <is>
          <t>B.CÁLCULO</t>
        </is>
      </c>
      <c r="I3" s="5" t="inlineStr">
        <is>
          <t xml:space="preserve">  A. DST</t>
        </is>
      </c>
      <c r="J3" s="5" t="inlineStr">
        <is>
          <t xml:space="preserve">  A.ORI</t>
        </is>
      </c>
      <c r="K3" s="5" t="inlineStr">
        <is>
          <t>DÉBITO</t>
        </is>
      </c>
      <c r="L3" s="5" t="inlineStr">
        <is>
          <t>CRÉDITO</t>
        </is>
      </c>
      <c r="M3" s="5" t="inlineStr">
        <is>
          <t>VR.DEVIDO</t>
        </is>
      </c>
      <c r="N3" s="5" t="inlineStr">
        <is>
          <t>VR. PAGO</t>
        </is>
      </c>
      <c r="O3" s="5" t="inlineStr">
        <is>
          <t>DIFER.</t>
        </is>
      </c>
    </row>
    <row r="4" ht="18" customHeight="1">
      <c r="A4" s="6" t="n"/>
      <c r="B4" s="7" t="n"/>
      <c r="C4" s="7" t="n"/>
      <c r="D4" s="6" t="n"/>
      <c r="E4" s="8" t="n"/>
      <c r="F4" s="8" t="n"/>
      <c r="G4" s="6" t="n"/>
      <c r="H4" s="8">
        <f>IF(G4="",0,(IF(G4="N",((E4+F4)-(E4*J4%))/(1-(I4/100)),IF(G4="S",((E4+F4)/(1-(I4/100))),IF(G4&gt;0,((E4+F4)-(E4*G4))/(1-(I4/100)))))))</f>
        <v/>
      </c>
      <c r="I4" s="9" t="n"/>
      <c r="J4" s="9" t="n"/>
      <c r="K4" s="8">
        <f>H4*I4%</f>
        <v/>
      </c>
      <c r="L4" s="8">
        <f>E4*J4%</f>
        <v/>
      </c>
      <c r="M4" s="8">
        <f>IF(G4="",0,IF(G4="S",H4*((I4-J4)%),IF(G4="N",K4-L4,IF(G4&gt;0,H4*((I4-J4)%)))))</f>
        <v/>
      </c>
      <c r="N4" s="8" t="n"/>
      <c r="O4" s="8">
        <f>M4-N4</f>
        <v/>
      </c>
    </row>
    <row r="5" ht="18" customHeight="1">
      <c r="A5" s="6" t="n"/>
      <c r="B5" s="7" t="n"/>
      <c r="C5" s="7" t="n"/>
      <c r="D5" s="6" t="n"/>
      <c r="E5" s="8" t="n"/>
      <c r="F5" s="8" t="n"/>
      <c r="G5" s="6" t="n"/>
      <c r="H5" s="8">
        <f>IF(G5="",0,(IF(G5="N",((E5+F5)-(E5*J5%))/(1-(I5/100)),IF(G5="S",((E5+F5)/(1-(I5/100))),IF(G5&gt;0,((E5+F5)-(E5*G5))/(1-(I5/100)))))))</f>
        <v/>
      </c>
      <c r="I5" s="9" t="n"/>
      <c r="J5" s="9" t="n"/>
      <c r="K5" s="8">
        <f>H5*I5%</f>
        <v/>
      </c>
      <c r="L5" s="8">
        <f>E5*J5%</f>
        <v/>
      </c>
      <c r="M5" s="8">
        <f>IF(G5="",0,IF(G5="S",H5*((I5-J5)%),IF(G5="N",K5-L5,IF(G5&gt;0,H5*((I5-J5)%)))))</f>
        <v/>
      </c>
      <c r="N5" s="8" t="n"/>
      <c r="O5" s="8">
        <f>M5-N5</f>
        <v/>
      </c>
    </row>
    <row r="6" ht="18" customHeight="1">
      <c r="A6" s="6" t="n"/>
      <c r="B6" s="7" t="n"/>
      <c r="C6" s="7" t="n"/>
      <c r="D6" s="6" t="n"/>
      <c r="E6" s="8" t="n"/>
      <c r="F6" s="8" t="n"/>
      <c r="G6" s="6" t="n"/>
      <c r="H6" s="8">
        <f>IF(G6="",0,(IF(G6="N",((E6+F6)-(E6*J6%))/(1-(I6/100)),IF(G6="S",((E6+F6)/(1-(I6/100))),IF(G6&gt;0,((E6+F6)-(E6*G6))/(1-(I6/100)))))))</f>
        <v/>
      </c>
      <c r="I6" s="9" t="n"/>
      <c r="J6" s="9" t="n"/>
      <c r="K6" s="8">
        <f>H6*I6%</f>
        <v/>
      </c>
      <c r="L6" s="8">
        <f>E6*J6%</f>
        <v/>
      </c>
      <c r="M6" s="8">
        <f>IF(G6="",0,IF(G6="S",H6*((I6-J6)%),IF(G6="N",K6-L6,IF(G6&gt;0,H6*((I6-J6)%)))))</f>
        <v/>
      </c>
      <c r="N6" s="8" t="n"/>
      <c r="O6" s="8">
        <f>M6-N6</f>
        <v/>
      </c>
    </row>
    <row r="7" ht="18" customHeight="1">
      <c r="A7" s="6" t="n"/>
      <c r="B7" s="7" t="n"/>
      <c r="C7" s="7" t="n"/>
      <c r="D7" s="6" t="n"/>
      <c r="E7" s="8" t="n"/>
      <c r="F7" s="8" t="n"/>
      <c r="G7" s="6" t="n"/>
      <c r="H7" s="8">
        <f>IF(G7="",0,(IF(G7="N",((E7+F7)-(E7*J7%))/(1-(I7/100)),IF(G7="S",((E7+F7)/(1-(I7/100))),IF(G7&gt;0,((E7+F7)-(E7*G7))/(1-(I7/100)))))))</f>
        <v/>
      </c>
      <c r="I7" s="9" t="n"/>
      <c r="J7" s="9" t="n"/>
      <c r="K7" s="8">
        <f>H7*I7%</f>
        <v/>
      </c>
      <c r="L7" s="8">
        <f>E7*J7%</f>
        <v/>
      </c>
      <c r="M7" s="8">
        <f>IF(G7="",0,IF(G7="S",H7*((I7-J7)%),IF(G7="N",K7-L7,IF(G7&gt;0,H7*((I7-J7)%)))))</f>
        <v/>
      </c>
      <c r="N7" s="8" t="n"/>
      <c r="O7" s="8">
        <f>M7-N7</f>
        <v/>
      </c>
    </row>
    <row r="8" ht="18" customHeight="1">
      <c r="A8" s="6" t="n"/>
      <c r="B8" s="7" t="n"/>
      <c r="C8" s="7" t="n"/>
      <c r="D8" s="6" t="n"/>
      <c r="E8" s="8" t="n"/>
      <c r="F8" s="8" t="n"/>
      <c r="G8" s="6" t="n"/>
      <c r="H8" s="8">
        <f>IF(G8="",0,(IF(G8="N",((E8+F8)-(E8*J8%))/(1-(I8/100)),IF(G8="S",((E8+F8)/(1-(I8/100))),IF(G8&gt;0,((E8+F8)-(E8*G8))/(1-(I8/100)))))))</f>
        <v/>
      </c>
      <c r="I8" s="9" t="n"/>
      <c r="J8" s="9" t="n"/>
      <c r="K8" s="8">
        <f>H8*I8%</f>
        <v/>
      </c>
      <c r="L8" s="8">
        <f>E8*J8%</f>
        <v/>
      </c>
      <c r="M8" s="8">
        <f>IF(G8="",0,IF(G8="S",H8*((I8-J8)%),IF(G8="N",K8-L8,IF(G8&gt;0,H8*((I8-J8)%)))))</f>
        <v/>
      </c>
      <c r="N8" s="8" t="n"/>
      <c r="O8" s="8">
        <f>M8-N8</f>
        <v/>
      </c>
    </row>
    <row r="9" ht="18" customHeight="1">
      <c r="A9" s="6" t="n"/>
      <c r="B9" s="7" t="n"/>
      <c r="C9" s="7" t="n"/>
      <c r="D9" s="6" t="n"/>
      <c r="E9" s="8" t="n"/>
      <c r="F9" s="8" t="n"/>
      <c r="G9" s="6" t="n"/>
      <c r="H9" s="8">
        <f>IF(G9="",0,(IF(G9="N",((E9+F9)-(E9*J9%))/(1-(I9/100)),IF(G9="S",((E9+F9)/(1-(I9/100))),IF(G9&gt;0,((E9+F9)-(E9*G9))/(1-(I9/100)))))))</f>
        <v/>
      </c>
      <c r="I9" s="9" t="n"/>
      <c r="J9" s="9" t="n"/>
      <c r="K9" s="8">
        <f>H9*I9%</f>
        <v/>
      </c>
      <c r="L9" s="8">
        <f>E9*J9%</f>
        <v/>
      </c>
      <c r="M9" s="8">
        <f>IF(G9="",0,IF(G9="S",H9*((I9-J9)%),IF(G9="N",K9-L9,IF(G9&gt;0,H9*((I9-J9)%)))))</f>
        <v/>
      </c>
      <c r="N9" s="8" t="n"/>
      <c r="O9" s="8">
        <f>M9-N9</f>
        <v/>
      </c>
    </row>
    <row r="10" ht="18" customHeight="1">
      <c r="A10" s="6" t="n"/>
      <c r="B10" s="7" t="n"/>
      <c r="C10" s="7" t="n"/>
      <c r="D10" s="6" t="n"/>
      <c r="E10" s="8" t="n"/>
      <c r="F10" s="8" t="n"/>
      <c r="G10" s="6" t="n"/>
      <c r="H10" s="8">
        <f>IF(G10="",0,(IF(G10="N",((E10+F10)-(E10*J10%))/(1-(I10/100)),IF(G10="S",((E10+F10)/(1-(I10/100))),IF(G10&gt;0,((E10+F10)-(E10*G10))/(1-(I10/100)))))))</f>
        <v/>
      </c>
      <c r="I10" s="9" t="n"/>
      <c r="J10" s="9" t="n"/>
      <c r="K10" s="8">
        <f>H10*I10%</f>
        <v/>
      </c>
      <c r="L10" s="8">
        <f>E10*J10%</f>
        <v/>
      </c>
      <c r="M10" s="8">
        <f>IF(G10="",0,IF(G10="S",H10*((I10-J10)%),IF(G10="N",K10-L10,IF(G10&gt;0,H10*((I10-J10)%)))))</f>
        <v/>
      </c>
      <c r="N10" s="8" t="n"/>
      <c r="O10" s="8">
        <f>M10-N10</f>
        <v/>
      </c>
    </row>
    <row r="11" ht="18" customHeight="1">
      <c r="A11" s="6" t="n"/>
      <c r="B11" s="7" t="n"/>
      <c r="C11" s="7" t="n"/>
      <c r="D11" s="6" t="n"/>
      <c r="E11" s="8" t="n"/>
      <c r="F11" s="8" t="n"/>
      <c r="G11" s="6" t="n"/>
      <c r="H11" s="8">
        <f>IF(G11="",0,(IF(G11="N",((E11+F11)-(E11*J11%))/(1-(I11/100)),IF(G11="S",((E11+F11)/(1-(I11/100))),IF(G11&gt;0,((E11+F11)-(E11*G11))/(1-(I11/100)))))))</f>
        <v/>
      </c>
      <c r="I11" s="9" t="n"/>
      <c r="J11" s="9" t="n"/>
      <c r="K11" s="8">
        <f>H11*I11%</f>
        <v/>
      </c>
      <c r="L11" s="8">
        <f>E11*J11%</f>
        <v/>
      </c>
      <c r="M11" s="8">
        <f>IF(G11="",0,IF(G11="S",H11*((I11-J11)%),IF(G11="N",K11-L11,IF(G11&gt;0,H11*((I11-J11)%)))))</f>
        <v/>
      </c>
      <c r="N11" s="8" t="n"/>
      <c r="O11" s="8">
        <f>M11-N11</f>
        <v/>
      </c>
    </row>
    <row r="12" ht="18" customHeight="1">
      <c r="A12" s="6" t="n"/>
      <c r="B12" s="7" t="n"/>
      <c r="C12" s="7" t="n"/>
      <c r="D12" s="6" t="n"/>
      <c r="E12" s="8" t="n"/>
      <c r="F12" s="8" t="n"/>
      <c r="G12" s="6" t="n"/>
      <c r="H12" s="8">
        <f>IF(G12="",0,(IF(G12="N",((E12+F12)-(E12*J12%))/(1-(I12/100)),IF(G12="S",((E12+F12)/(1-(I12/100))),IF(G12&gt;0,((E12+F12)-(E12*G12))/(1-(I12/100)))))))</f>
        <v/>
      </c>
      <c r="I12" s="9" t="n"/>
      <c r="J12" s="9" t="n"/>
      <c r="K12" s="8">
        <f>H12*I12%</f>
        <v/>
      </c>
      <c r="L12" s="8">
        <f>E12*J12%</f>
        <v/>
      </c>
      <c r="M12" s="8">
        <f>IF(G12="",0,IF(G12="S",H12*((I12-J12)%),IF(G12="N",K12-L12,IF(G12&gt;0,H12*((I12-J12)%)))))</f>
        <v/>
      </c>
      <c r="N12" s="8" t="n"/>
      <c r="O12" s="8">
        <f>M12-N12</f>
        <v/>
      </c>
    </row>
    <row r="13" ht="18" customHeight="1">
      <c r="A13" s="6" t="n"/>
      <c r="B13" s="7" t="n"/>
      <c r="C13" s="7" t="n"/>
      <c r="D13" s="6" t="n"/>
      <c r="E13" s="8" t="n"/>
      <c r="F13" s="8" t="n"/>
      <c r="G13" s="6" t="n"/>
      <c r="H13" s="8">
        <f>IF(G13="",0,(IF(G13="N",((E13+F13)-(E13*J13%))/(1-(I13/100)),IF(G13="S",((E13+F13)/(1-(I13/100))),IF(G13&gt;0,((E13+F13)-(E13*G13))/(1-(I13/100)))))))</f>
        <v/>
      </c>
      <c r="I13" s="9" t="n"/>
      <c r="J13" s="9" t="n"/>
      <c r="K13" s="8">
        <f>H13*I13%</f>
        <v/>
      </c>
      <c r="L13" s="8">
        <f>E13*J13%</f>
        <v/>
      </c>
      <c r="M13" s="8">
        <f>IF(G13="",0,IF(G13="S",H13*((I13-J13)%),IF(G13="N",K13-L13,IF(G13&gt;0,H13*((I13-J13)%)))))</f>
        <v/>
      </c>
      <c r="N13" s="8" t="n"/>
      <c r="O13" s="8">
        <f>M13-N13</f>
        <v/>
      </c>
    </row>
    <row r="14" ht="18" customHeight="1">
      <c r="A14" s="6" t="n"/>
      <c r="B14" s="7" t="n"/>
      <c r="C14" s="7" t="n"/>
      <c r="D14" s="6" t="n"/>
      <c r="E14" s="8" t="n"/>
      <c r="F14" s="8" t="n"/>
      <c r="G14" s="6" t="n"/>
      <c r="H14" s="8">
        <f>IF(G14="",0,(IF(G14="N",((E14+F14)-(E14*J14%))/(1-(I14/100)),IF(G14="S",((E14+F14)/(1-(I14/100))),IF(G14&gt;0,((E14+F14)-(E14*G14))/(1-(I14/100)))))))</f>
        <v/>
      </c>
      <c r="I14" s="9" t="n"/>
      <c r="J14" s="9" t="n"/>
      <c r="K14" s="8">
        <f>H14*I14%</f>
        <v/>
      </c>
      <c r="L14" s="8">
        <f>E14*J14%</f>
        <v/>
      </c>
      <c r="M14" s="8">
        <f>IF(G14="",0,IF(G14="S",H14*((I14-J14)%),IF(G14="N",K14-L14,IF(G14&gt;0,H14*((I14-J14)%)))))</f>
        <v/>
      </c>
      <c r="N14" s="8" t="n"/>
      <c r="O14" s="8">
        <f>M14-N14</f>
        <v/>
      </c>
    </row>
    <row r="15" ht="18" customHeight="1">
      <c r="A15" s="6" t="n"/>
      <c r="B15" s="7" t="n"/>
      <c r="C15" s="7" t="n"/>
      <c r="D15" s="6" t="n"/>
      <c r="E15" s="8" t="n"/>
      <c r="F15" s="8" t="n"/>
      <c r="G15" s="6" t="n"/>
      <c r="H15" s="8">
        <f>IF(G15="",0,(IF(G15="N",((E15+F15)-(E15*J15%))/(1-(I15/100)),IF(G15="S",((E15+F15)/(1-(I15/100))),IF(G15&gt;0,((E15+F15)-(E15*G15))/(1-(I15/100)))))))</f>
        <v/>
      </c>
      <c r="I15" s="9" t="n"/>
      <c r="J15" s="9" t="n"/>
      <c r="K15" s="8">
        <f>H15*I15%</f>
        <v/>
      </c>
      <c r="L15" s="8">
        <f>E15*J15%</f>
        <v/>
      </c>
      <c r="M15" s="8">
        <f>IF(G15="",0,IF(G15="S",H15*((I15-J15)%),IF(G15="N",K15-L15,IF(G15&gt;0,H15*((I15-J15)%)))))</f>
        <v/>
      </c>
      <c r="N15" s="8" t="n"/>
      <c r="O15" s="8">
        <f>M15-N15</f>
        <v/>
      </c>
    </row>
    <row r="16" ht="18" customHeight="1">
      <c r="A16" s="6" t="n"/>
      <c r="B16" s="7" t="n"/>
      <c r="C16" s="7" t="n"/>
      <c r="D16" s="6" t="n"/>
      <c r="E16" s="8" t="n"/>
      <c r="F16" s="8" t="n"/>
      <c r="G16" s="6" t="n"/>
      <c r="H16" s="8">
        <f>IF(G16="",0,(IF(G16="N",((E16+F16)-(E16*J16%))/(1-(I16/100)),IF(G16="S",((E16+F16)/(1-(I16/100))),IF(G16&gt;0,((E16+F16)-(E16*G16))/(1-(I16/100)))))))</f>
        <v/>
      </c>
      <c r="I16" s="9" t="n"/>
      <c r="J16" s="9" t="n"/>
      <c r="K16" s="8">
        <f>H16*I16%</f>
        <v/>
      </c>
      <c r="L16" s="8">
        <f>E16*J16%</f>
        <v/>
      </c>
      <c r="M16" s="8">
        <f>IF(G16="",0,IF(G16="S",H16*((I16-J16)%),IF(G16="N",K16-L16,IF(G16&gt;0,H16*((I16-J16)%)))))</f>
        <v/>
      </c>
      <c r="N16" s="8" t="n"/>
      <c r="O16" s="8">
        <f>M16-N16</f>
        <v/>
      </c>
    </row>
    <row r="17" ht="18" customHeight="1">
      <c r="A17" s="6" t="n"/>
      <c r="B17" s="7" t="n"/>
      <c r="C17" s="7" t="n"/>
      <c r="D17" s="6" t="n"/>
      <c r="E17" s="8" t="n"/>
      <c r="F17" s="8" t="n"/>
      <c r="G17" s="6" t="n"/>
      <c r="H17" s="8">
        <f>IF(G17="",0,(IF(G17="N",((E17+F17)-(E17*J17%))/(1-(I17/100)),IF(G17="S",((E17+F17)/(1-(I17/100))),IF(G17&gt;0,((E17+F17)-(E17*G17))/(1-(I17/100)))))))</f>
        <v/>
      </c>
      <c r="I17" s="9" t="n"/>
      <c r="J17" s="9" t="n"/>
      <c r="K17" s="8">
        <f>H17*I17%</f>
        <v/>
      </c>
      <c r="L17" s="8">
        <f>E17*J17%</f>
        <v/>
      </c>
      <c r="M17" s="8">
        <f>IF(G17="",0,IF(G17="S",H17*((I17-J17)%),IF(G17="N",K17-L17,IF(G17&gt;0,H17*((I17-J17)%)))))</f>
        <v/>
      </c>
      <c r="N17" s="8" t="n"/>
      <c r="O17" s="8">
        <f>M17-N17</f>
        <v/>
      </c>
    </row>
    <row r="18" ht="18" customHeight="1">
      <c r="A18" s="6" t="n"/>
      <c r="B18" s="7" t="n"/>
      <c r="C18" s="7" t="n"/>
      <c r="D18" s="6" t="n"/>
      <c r="E18" s="8" t="n"/>
      <c r="F18" s="8" t="n"/>
      <c r="G18" s="6" t="n"/>
      <c r="H18" s="8">
        <f>IF(G18="",0,(IF(G18="N",((E18+F18)-(E18*J18%))/(1-(I18/100)),IF(G18="S",((E18+F18)/(1-(I18/100))),IF(G18&gt;0,((E18+F18)-(E18*G18))/(1-(I18/100)))))))</f>
        <v/>
      </c>
      <c r="I18" s="9" t="n"/>
      <c r="J18" s="9" t="n"/>
      <c r="K18" s="8">
        <f>H18*I18%</f>
        <v/>
      </c>
      <c r="L18" s="8">
        <f>E18*J18%</f>
        <v/>
      </c>
      <c r="M18" s="8">
        <f>IF(G18="",0,IF(G18="S",H18*((I18-J18)%),IF(G18="N",K18-L18,IF(G18&gt;0,H18*((I18-J18)%)))))</f>
        <v/>
      </c>
      <c r="N18" s="8" t="n"/>
      <c r="O18" s="8">
        <f>M18-N18</f>
        <v/>
      </c>
    </row>
    <row r="19" ht="18" customHeight="1">
      <c r="A19" s="6" t="n"/>
      <c r="B19" s="7" t="n"/>
      <c r="C19" s="7" t="n"/>
      <c r="D19" s="6" t="n"/>
      <c r="E19" s="8" t="n"/>
      <c r="F19" s="8" t="n"/>
      <c r="G19" s="6" t="n"/>
      <c r="H19" s="8">
        <f>IF(G19="",0,(IF(G19="N",((E19+F19)-(E19*J19%))/(1-(I19/100)),IF(G19="S",((E19+F19)/(1-(I19/100))),IF(G19&gt;0,((E19+F19)-(E19*G19))/(1-(I19/100)))))))</f>
        <v/>
      </c>
      <c r="I19" s="9" t="n"/>
      <c r="J19" s="9" t="n"/>
      <c r="K19" s="8">
        <f>H19*I19%</f>
        <v/>
      </c>
      <c r="L19" s="8">
        <f>E19*J19%</f>
        <v/>
      </c>
      <c r="M19" s="8">
        <f>IF(G19="",0,IF(G19="S",H19*((I19-J19)%),IF(G19="N",K19-L19,IF(G19&gt;0,H19*((I19-J19)%)))))</f>
        <v/>
      </c>
      <c r="N19" s="8" t="n"/>
      <c r="O19" s="8">
        <f>M19-N19</f>
        <v/>
      </c>
    </row>
    <row r="20" ht="18" customHeight="1">
      <c r="A20" s="6" t="n"/>
      <c r="B20" s="7" t="n"/>
      <c r="C20" s="7" t="n"/>
      <c r="D20" s="6" t="n"/>
      <c r="E20" s="8" t="n"/>
      <c r="F20" s="8" t="n"/>
      <c r="G20" s="6" t="n"/>
      <c r="H20" s="8">
        <f>IF(G20="",0,(IF(G20="N",((E20+F20)-(E20*J20%))/(1-(I20/100)),IF(G20="S",((E20+F20)/(1-(I20/100))),IF(G20&gt;0,((E20+F20)-(E20*G20))/(1-(I20/100)))))))</f>
        <v/>
      </c>
      <c r="I20" s="9" t="n"/>
      <c r="J20" s="9" t="n"/>
      <c r="K20" s="8">
        <f>H20*I20%</f>
        <v/>
      </c>
      <c r="L20" s="8">
        <f>E20*J20%</f>
        <v/>
      </c>
      <c r="M20" s="8">
        <f>IF(G20="",0,IF(G20="S",H20*((I20-J20)%),IF(G20="N",K20-L20,IF(G20&gt;0,H20*((I20-J20)%)))))</f>
        <v/>
      </c>
      <c r="N20" s="8" t="n"/>
      <c r="O20" s="8">
        <f>M20-N20</f>
        <v/>
      </c>
    </row>
    <row r="21" ht="18" customHeight="1">
      <c r="A21" s="6" t="n"/>
      <c r="B21" s="7" t="n"/>
      <c r="C21" s="7" t="n"/>
      <c r="D21" s="6" t="n"/>
      <c r="E21" s="8" t="n"/>
      <c r="F21" s="8" t="n"/>
      <c r="G21" s="6" t="n"/>
      <c r="H21" s="8">
        <f>IF(G21="",0,(IF(G21="N",((E21+F21)-(E21*J21%))/(1-(I21/100)),IF(G21="S",((E21+F21)/(1-(I21/100))),IF(G21&gt;0,((E21+F21)-(E21*G21))/(1-(I21/100)))))))</f>
        <v/>
      </c>
      <c r="I21" s="9" t="n"/>
      <c r="J21" s="9" t="n"/>
      <c r="K21" s="8">
        <f>H21*I21%</f>
        <v/>
      </c>
      <c r="L21" s="8">
        <f>E21*J21%</f>
        <v/>
      </c>
      <c r="M21" s="8">
        <f>IF(G21="",0,IF(G21="S",H21*((I21-J21)%),IF(G21="N",K21-L21,IF(G21&gt;0,H21*((I21-J21)%)))))</f>
        <v/>
      </c>
      <c r="N21" s="8" t="n"/>
      <c r="O21" s="8">
        <f>M21-N21</f>
        <v/>
      </c>
    </row>
    <row r="22" ht="18" customHeight="1">
      <c r="A22" s="6" t="n"/>
      <c r="B22" s="7" t="n"/>
      <c r="C22" s="7" t="n"/>
      <c r="D22" s="6" t="n"/>
      <c r="E22" s="8" t="n"/>
      <c r="F22" s="8" t="n"/>
      <c r="G22" s="6" t="n"/>
      <c r="H22" s="8">
        <f>IF(G22="",0,(IF(G22="N",((E22+F22)-(E22*J22%))/(1-(I22/100)),IF(G22="S",((E22+F22)/(1-(I22/100))),IF(G22&gt;0,((E22+F22)-(E22*G22))/(1-(I22/100)))))))</f>
        <v/>
      </c>
      <c r="I22" s="9" t="n"/>
      <c r="J22" s="9" t="n"/>
      <c r="K22" s="8">
        <f>H22*I22%</f>
        <v/>
      </c>
      <c r="L22" s="8">
        <f>E22*J22%</f>
        <v/>
      </c>
      <c r="M22" s="8">
        <f>IF(G22="",0,IF(G22="S",H22*((I22-J22)%),IF(G22="N",K22-L22,IF(G22&gt;0,H22*((I22-J22)%)))))</f>
        <v/>
      </c>
      <c r="N22" s="8" t="n"/>
      <c r="O22" s="8">
        <f>M22-N22</f>
        <v/>
      </c>
    </row>
    <row r="23" ht="18" customHeight="1">
      <c r="A23" s="6" t="n"/>
      <c r="B23" s="7" t="n"/>
      <c r="C23" s="7" t="n"/>
      <c r="D23" s="6" t="n"/>
      <c r="E23" s="8" t="n"/>
      <c r="F23" s="8" t="n"/>
      <c r="G23" s="6" t="n"/>
      <c r="H23" s="8">
        <f>IF(G23="",0,(IF(G23="N",((E23+F23)-(E23*J23%))/(1-(I23/100)),IF(G23="S",((E23+F23)/(1-(I23/100))),IF(G23&gt;0,((E23+F23)-(E23*G23))/(1-(I23/100)))))))</f>
        <v/>
      </c>
      <c r="I23" s="9" t="n"/>
      <c r="J23" s="9" t="n"/>
      <c r="K23" s="8">
        <f>H23*I23%</f>
        <v/>
      </c>
      <c r="L23" s="8">
        <f>E23*J23%</f>
        <v/>
      </c>
      <c r="M23" s="8">
        <f>IF(G23="",0,IF(G23="S",H23*((I23-J23)%),IF(G23="N",K23-L23,IF(G23&gt;0,H23*((I23-J23)%)))))</f>
        <v/>
      </c>
      <c r="N23" s="8" t="n"/>
      <c r="O23" s="8">
        <f>M23-N23</f>
        <v/>
      </c>
    </row>
    <row r="24" ht="18" customHeight="1">
      <c r="A24" s="6" t="n"/>
      <c r="B24" s="7" t="n"/>
      <c r="C24" s="7" t="n"/>
      <c r="D24" s="6" t="n"/>
      <c r="E24" s="8" t="n"/>
      <c r="F24" s="8" t="n"/>
      <c r="G24" s="6" t="n"/>
      <c r="H24" s="8">
        <f>IF(G24="",0,(IF(G24="N",((E24+F24)-(E24*J24%))/(1-(I24/100)),IF(G24="S",((E24+F24)/(1-(I24/100))),IF(G24&gt;0,((E24+F24)-(E24*G24))/(1-(I24/100)))))))</f>
        <v/>
      </c>
      <c r="I24" s="9" t="n"/>
      <c r="J24" s="9" t="n"/>
      <c r="K24" s="8">
        <f>H24*I24%</f>
        <v/>
      </c>
      <c r="L24" s="8">
        <f>E24*J24%</f>
        <v/>
      </c>
      <c r="M24" s="8">
        <f>IF(G24="",0,IF(G24="S",H24*((I24-J24)%),IF(G24="N",K24-L24,IF(G24&gt;0,H24*((I24-J24)%)))))</f>
        <v/>
      </c>
      <c r="N24" s="8" t="n"/>
      <c r="O24" s="8">
        <f>M24-N24</f>
        <v/>
      </c>
    </row>
    <row r="25" ht="18" customHeight="1">
      <c r="A25" s="6" t="n"/>
      <c r="B25" s="7" t="n"/>
      <c r="C25" s="7" t="n"/>
      <c r="D25" s="6" t="n"/>
      <c r="E25" s="8" t="n"/>
      <c r="F25" s="8" t="n"/>
      <c r="G25" s="6" t="n"/>
      <c r="H25" s="8">
        <f>IF(G25="",0,(IF(G25="N",((E25+F25)-(E25*J25%))/(1-(I25/100)),IF(G25="S",((E25+F25)/(1-(I25/100))),IF(G25&gt;0,((E25+F25)-(E25*G25))/(1-(I25/100)))))))</f>
        <v/>
      </c>
      <c r="I25" s="9" t="n"/>
      <c r="J25" s="9" t="n"/>
      <c r="K25" s="8">
        <f>H25*I25%</f>
        <v/>
      </c>
      <c r="L25" s="8">
        <f>E25*J25%</f>
        <v/>
      </c>
      <c r="M25" s="8">
        <f>IF(G25="",0,IF(G25="S",H25*((I25-J25)%),IF(G25="N",K25-L25,IF(G25&gt;0,H25*((I25-J25)%)))))</f>
        <v/>
      </c>
      <c r="N25" s="8" t="n"/>
      <c r="O25" s="8">
        <f>M25-N25</f>
        <v/>
      </c>
    </row>
    <row r="26" ht="18" customHeight="1">
      <c r="A26" s="6" t="n"/>
      <c r="B26" s="7" t="n"/>
      <c r="C26" s="7" t="n"/>
      <c r="D26" s="6" t="n"/>
      <c r="E26" s="8" t="n"/>
      <c r="F26" s="8" t="n"/>
      <c r="G26" s="6" t="n"/>
      <c r="H26" s="8">
        <f>IF(G26="",0,(IF(G26="N",((E26+F26)-(E26*J26%))/(1-(I26/100)),IF(G26="S",((E26+F26)/(1-(I26/100))),IF(G26&gt;0,((E26+F26)-(E26*G26))/(1-(I26/100)))))))</f>
        <v/>
      </c>
      <c r="I26" s="9" t="n"/>
      <c r="J26" s="9" t="n"/>
      <c r="K26" s="8">
        <f>H26*I26%</f>
        <v/>
      </c>
      <c r="L26" s="8">
        <f>E26*J26%</f>
        <v/>
      </c>
      <c r="M26" s="8">
        <f>IF(G26="",0,IF(G26="S",H26*((I26-J26)%),IF(G26="N",K26-L26,IF(G26&gt;0,H26*((I26-J26)%)))))</f>
        <v/>
      </c>
      <c r="N26" s="8" t="n"/>
      <c r="O26" s="8">
        <f>M26-N26</f>
        <v/>
      </c>
    </row>
    <row r="27" ht="18" customHeight="1">
      <c r="A27" s="6" t="n"/>
      <c r="B27" s="7" t="n"/>
      <c r="C27" s="7" t="n"/>
      <c r="D27" s="6" t="n"/>
      <c r="E27" s="8" t="n"/>
      <c r="F27" s="8" t="n"/>
      <c r="G27" s="6" t="n"/>
      <c r="H27" s="8">
        <f>IF(G27="",0,(IF(G27="N",((E27+F27)-(E27*J27%))/(1-(I27/100)),IF(G27="S",((E27+F27)/(1-(I27/100))),IF(G27&gt;0,((E27+F27)-(E27*G27))/(1-(I27/100)))))))</f>
        <v/>
      </c>
      <c r="I27" s="9" t="n"/>
      <c r="J27" s="9" t="n"/>
      <c r="K27" s="8">
        <f>H27*I27%</f>
        <v/>
      </c>
      <c r="L27" s="8">
        <f>E27*J27%</f>
        <v/>
      </c>
      <c r="M27" s="8">
        <f>IF(G27="",0,IF(G27="S",H27*((I27-J27)%),IF(G27="N",K27-L27,IF(G27&gt;0,H27*((I27-J27)%)))))</f>
        <v/>
      </c>
      <c r="N27" s="8" t="n"/>
      <c r="O27" s="8">
        <f>M27-N27</f>
        <v/>
      </c>
    </row>
    <row r="28" ht="18" customHeight="1">
      <c r="A28" s="6" t="n"/>
      <c r="B28" s="7" t="n"/>
      <c r="C28" s="7" t="n"/>
      <c r="D28" s="6" t="n"/>
      <c r="E28" s="8" t="n"/>
      <c r="F28" s="8" t="n"/>
      <c r="G28" s="6" t="n"/>
      <c r="H28" s="8">
        <f>IF(G28="",0,(IF(G28="N",((E28+F28)-(E28*J28%))/(1-(I28/100)),IF(G28="S",((E28+F28)/(1-(I28/100))),IF(G28&gt;0,((E28+F28)-(E28*G28))/(1-(I28/100)))))))</f>
        <v/>
      </c>
      <c r="I28" s="9" t="n"/>
      <c r="J28" s="9" t="n"/>
      <c r="K28" s="8">
        <f>H28*I28%</f>
        <v/>
      </c>
      <c r="L28" s="8">
        <f>E28*J28%</f>
        <v/>
      </c>
      <c r="M28" s="8">
        <f>IF(G28="",0,IF(G28="S",H28*((I28-J28)%),IF(G28="N",K28-L28,IF(G28&gt;0,H28*((I28-J28)%)))))</f>
        <v/>
      </c>
      <c r="N28" s="8" t="n"/>
      <c r="O28" s="8">
        <f>M28-N28</f>
        <v/>
      </c>
    </row>
    <row r="29" ht="18" customHeight="1">
      <c r="A29" s="6" t="n"/>
      <c r="B29" s="7" t="n"/>
      <c r="C29" s="7" t="n"/>
      <c r="D29" s="6" t="n"/>
      <c r="E29" s="8" t="n"/>
      <c r="F29" s="8" t="n"/>
      <c r="G29" s="6" t="n"/>
      <c r="H29" s="8">
        <f>IF(G29="",0,(IF(G29="N",((E29+F29)-(E29*J29%))/(1-(I29/100)),IF(G29="S",((E29+F29)/(1-(I29/100))),IF(G29&gt;0,((E29+F29)-(E29*G29))/(1-(I29/100)))))))</f>
        <v/>
      </c>
      <c r="I29" s="9" t="n"/>
      <c r="J29" s="9" t="n"/>
      <c r="K29" s="8">
        <f>H29*I29%</f>
        <v/>
      </c>
      <c r="L29" s="8">
        <f>E29*J29%</f>
        <v/>
      </c>
      <c r="M29" s="8">
        <f>IF(G29="",0,IF(G29="S",H29*((I29-J29)%),IF(G29="N",K29-L29,IF(G29&gt;0,H29*((I29-J29)%)))))</f>
        <v/>
      </c>
      <c r="N29" s="8" t="n"/>
      <c r="O29" s="8">
        <f>M29-N29</f>
        <v/>
      </c>
    </row>
    <row r="30" ht="18" customHeight="1">
      <c r="A30" s="6" t="n"/>
      <c r="B30" s="7" t="n"/>
      <c r="C30" s="7" t="n"/>
      <c r="D30" s="6" t="n"/>
      <c r="E30" s="8" t="n"/>
      <c r="F30" s="8" t="n"/>
      <c r="G30" s="6" t="n"/>
      <c r="H30" s="8">
        <f>IF(G30="",0,(IF(G30="N",((E30+F30)-(E30*J30%))/(1-(I30/100)),IF(G30="S",((E30+F30)/(1-(I30/100))),IF(G30&gt;0,((E30+F30)-(E30*G30))/(1-(I30/100)))))))</f>
        <v/>
      </c>
      <c r="I30" s="9" t="n"/>
      <c r="J30" s="9" t="n"/>
      <c r="K30" s="8">
        <f>H30*I30%</f>
        <v/>
      </c>
      <c r="L30" s="8">
        <f>E30*J30%</f>
        <v/>
      </c>
      <c r="M30" s="8">
        <f>IF(G30="",0,IF(G30="S",H30*((I30-J30)%),IF(G30="N",K30-L30,IF(G30&gt;0,H30*((I30-J30)%)))))</f>
        <v/>
      </c>
      <c r="N30" s="8" t="n"/>
      <c r="O30" s="8">
        <f>M30-N30</f>
        <v/>
      </c>
    </row>
    <row r="31" ht="18" customHeight="1">
      <c r="A31" s="6" t="n"/>
      <c r="B31" s="7" t="n"/>
      <c r="C31" s="7" t="n"/>
      <c r="D31" s="6" t="n"/>
      <c r="E31" s="8" t="n"/>
      <c r="F31" s="8" t="n"/>
      <c r="G31" s="6" t="n"/>
      <c r="H31" s="8">
        <f>IF(G31="",0,(IF(G31="N",((E31+F31)-(E31*J31%))/(1-(I31/100)),IF(G31="S",((E31+F31)/(1-(I31/100))),IF(G31&gt;0,((E31+F31)-(E31*G31))/(1-(I31/100)))))))</f>
        <v/>
      </c>
      <c r="I31" s="9" t="n"/>
      <c r="J31" s="9" t="n"/>
      <c r="K31" s="8">
        <f>H31*I31%</f>
        <v/>
      </c>
      <c r="L31" s="8">
        <f>E31*J31%</f>
        <v/>
      </c>
      <c r="M31" s="8">
        <f>IF(G31="",0,IF(G31="S",H31*((I31-J31)%),IF(G31="N",K31-L31,IF(G31&gt;0,H31*((I31-J31)%)))))</f>
        <v/>
      </c>
      <c r="N31" s="8" t="n"/>
      <c r="O31" s="8">
        <f>M31-N31</f>
        <v/>
      </c>
    </row>
    <row r="32" ht="18" customHeight="1">
      <c r="A32" s="6" t="n"/>
      <c r="B32" s="7" t="n"/>
      <c r="C32" s="7" t="n"/>
      <c r="D32" s="6" t="n"/>
      <c r="E32" s="8" t="n"/>
      <c r="F32" s="8" t="n"/>
      <c r="G32" s="6" t="n"/>
      <c r="H32" s="8">
        <f>IF(G32="",0,(IF(G32="N",((E32+F32)-(E32*J32%))/(1-(I32/100)),IF(G32="S",((E32+F32)/(1-(I32/100))),IF(G32&gt;0,((E32+F32)-(E32*G32))/(1-(I32/100)))))))</f>
        <v/>
      </c>
      <c r="I32" s="9" t="n"/>
      <c r="J32" s="9" t="n"/>
      <c r="K32" s="8">
        <f>H32*I32%</f>
        <v/>
      </c>
      <c r="L32" s="8">
        <f>E32*J32%</f>
        <v/>
      </c>
      <c r="M32" s="8">
        <f>IF(G32="",0,IF(G32="S",H32*((I32-J32)%),IF(G32="N",K32-L32,IF(G32&gt;0,H32*((I32-J32)%)))))</f>
        <v/>
      </c>
      <c r="N32" s="8" t="n"/>
      <c r="O32" s="8">
        <f>M32-N32</f>
        <v/>
      </c>
    </row>
    <row r="33" ht="18" customHeight="1">
      <c r="A33" s="6" t="n"/>
      <c r="B33" s="7" t="n"/>
      <c r="C33" s="7" t="n"/>
      <c r="D33" s="6" t="n"/>
      <c r="E33" s="8" t="n"/>
      <c r="F33" s="8" t="n"/>
      <c r="G33" s="6" t="n"/>
      <c r="H33" s="8">
        <f>IF(G33="",0,(IF(G33="N",((E33+F33)-(E33*J33%))/(1-(I33/100)),IF(G33="S",((E33+F33)/(1-(I33/100))),IF(G33&gt;0,((E33+F33)-(E33*G33))/(1-(I33/100)))))))</f>
        <v/>
      </c>
      <c r="I33" s="9" t="n"/>
      <c r="J33" s="9" t="n"/>
      <c r="K33" s="8">
        <f>H33*I33%</f>
        <v/>
      </c>
      <c r="L33" s="8">
        <f>E33*J33%</f>
        <v/>
      </c>
      <c r="M33" s="8">
        <f>IF(G33="",0,IF(G33="S",H33*((I33-J33)%),IF(G33="N",K33-L33,IF(G33&gt;0,H33*((I33-J33)%)))))</f>
        <v/>
      </c>
      <c r="N33" s="8" t="n"/>
      <c r="O33" s="8">
        <f>M33-N33</f>
        <v/>
      </c>
    </row>
    <row r="34" ht="18" customHeight="1">
      <c r="A34" s="6" t="n"/>
      <c r="B34" s="7" t="n"/>
      <c r="C34" s="7" t="n"/>
      <c r="D34" s="6" t="n"/>
      <c r="E34" s="8" t="n"/>
      <c r="F34" s="8" t="n"/>
      <c r="G34" s="6" t="n"/>
      <c r="H34" s="8">
        <f>IF(G34="",0,(IF(G34="N",((E34+F34)-(E34*J34%))/(1-(I34/100)),IF(G34="S",((E34+F34)/(1-(I34/100))),IF(G34&gt;0,((E34+F34)-(E34*G34))/(1-(I34/100)))))))</f>
        <v/>
      </c>
      <c r="I34" s="9" t="n"/>
      <c r="J34" s="9" t="n"/>
      <c r="K34" s="8">
        <f>H34*I34%</f>
        <v/>
      </c>
      <c r="L34" s="8">
        <f>E34*J34%</f>
        <v/>
      </c>
      <c r="M34" s="8">
        <f>IF(G34="",0,IF(G34="S",H34*((I34-J34)%),IF(G34="N",K34-L34,IF(G34&gt;0,H34*((I34-J34)%)))))</f>
        <v/>
      </c>
      <c r="N34" s="8" t="n"/>
      <c r="O34" s="8">
        <f>M34-N34</f>
        <v/>
      </c>
    </row>
    <row r="35" ht="18" customHeight="1">
      <c r="A35" s="6" t="n"/>
      <c r="B35" s="7" t="n"/>
      <c r="C35" s="7" t="n"/>
      <c r="D35" s="6" t="n"/>
      <c r="E35" s="8" t="n"/>
      <c r="F35" s="8" t="n"/>
      <c r="G35" s="6" t="n"/>
      <c r="H35" s="8">
        <f>IF(G35="",0,(IF(G35="N",((E35+F35)-(E35*J35%))/(1-(I35/100)),IF(G35="S",((E35+F35)/(1-(I35/100))),IF(G35&gt;0,((E35+F35)-(E35*G35))/(1-(I35/100)))))))</f>
        <v/>
      </c>
      <c r="I35" s="9" t="n"/>
      <c r="J35" s="9" t="n"/>
      <c r="K35" s="8">
        <f>H35*I35%</f>
        <v/>
      </c>
      <c r="L35" s="8">
        <f>E35*J35%</f>
        <v/>
      </c>
      <c r="M35" s="8">
        <f>IF(G35="",0,IF(G35="S",H35*((I35-J35)%),IF(G35="N",K35-L35,IF(G35&gt;0,H35*((I35-J35)%)))))</f>
        <v/>
      </c>
      <c r="N35" s="8" t="n"/>
      <c r="O35" s="8">
        <f>M35-N35</f>
        <v/>
      </c>
    </row>
    <row r="36" ht="18" customHeight="1">
      <c r="A36" s="6" t="n"/>
      <c r="B36" s="7" t="n"/>
      <c r="C36" s="7" t="n"/>
      <c r="D36" s="6" t="n"/>
      <c r="E36" s="8" t="n"/>
      <c r="F36" s="8" t="n"/>
      <c r="G36" s="6" t="n"/>
      <c r="H36" s="8">
        <f>IF(G36="",0,(IF(G36="N",((E36+F36)-(E36*J36%))/(1-(I36/100)),IF(G36="S",((E36+F36)/(1-(I36/100))),IF(G36&gt;0,((E36+F36)-(E36*G36))/(1-(I36/100)))))))</f>
        <v/>
      </c>
      <c r="I36" s="9" t="n"/>
      <c r="J36" s="9" t="n"/>
      <c r="K36" s="8">
        <f>H36*I36%</f>
        <v/>
      </c>
      <c r="L36" s="8">
        <f>E36*J36%</f>
        <v/>
      </c>
      <c r="M36" s="8">
        <f>IF(G36="",0,IF(G36="S",H36*((I36-J36)%),IF(G36="N",K36-L36,IF(G36&gt;0,H36*((I36-J36)%)))))</f>
        <v/>
      </c>
      <c r="N36" s="8" t="n"/>
      <c r="O36" s="8">
        <f>M36-N36</f>
        <v/>
      </c>
    </row>
    <row r="37" ht="18" customHeight="1">
      <c r="A37" s="6" t="n"/>
      <c r="B37" s="7" t="n"/>
      <c r="C37" s="7" t="n"/>
      <c r="D37" s="6" t="n"/>
      <c r="E37" s="8" t="n"/>
      <c r="F37" s="8" t="n"/>
      <c r="G37" s="6" t="n"/>
      <c r="H37" s="8">
        <f>IF(G37="",0,(IF(G37="N",((E37+F37)-(E37*J37%))/(1-(I37/100)),IF(G37="S",((E37+F37)/(1-(I37/100))),IF(G37&gt;0,((E37+F37)-(E37*G37))/(1-(I37/100)))))))</f>
        <v/>
      </c>
      <c r="I37" s="9" t="n"/>
      <c r="J37" s="9" t="n"/>
      <c r="K37" s="8">
        <f>H37*I37%</f>
        <v/>
      </c>
      <c r="L37" s="8">
        <f>E37*J37%</f>
        <v/>
      </c>
      <c r="M37" s="8">
        <f>IF(G37="",0,IF(G37="S",H37*((I37-J37)%),IF(G37="N",K37-L37,IF(G37&gt;0,H37*((I37-J37)%)))))</f>
        <v/>
      </c>
      <c r="N37" s="8" t="n"/>
      <c r="O37" s="8">
        <f>M37-N37</f>
        <v/>
      </c>
    </row>
    <row r="38" ht="18" customHeight="1">
      <c r="A38" s="6" t="n"/>
      <c r="B38" s="7" t="n"/>
      <c r="C38" s="7" t="n"/>
      <c r="D38" s="6" t="n"/>
      <c r="E38" s="8" t="n"/>
      <c r="F38" s="8" t="n"/>
      <c r="G38" s="6" t="n"/>
      <c r="H38" s="8">
        <f>IF(G38="",0,(IF(G38="N",((E38+F38)-(E38*J38%))/(1-(I38/100)),IF(G38="S",((E38+F38)/(1-(I38/100))),IF(G38&gt;0,((E38+F38)-(E38*G38))/(1-(I38/100)))))))</f>
        <v/>
      </c>
      <c r="I38" s="9" t="n"/>
      <c r="J38" s="9" t="n"/>
      <c r="K38" s="8">
        <f>H38*I38%</f>
        <v/>
      </c>
      <c r="L38" s="8">
        <f>E38*J38%</f>
        <v/>
      </c>
      <c r="M38" s="8">
        <f>IF(G38="",0,IF(G38="S",H38*((I38-J38)%),IF(G38="N",K38-L38,IF(G38&gt;0,H38*((I38-J38)%)))))</f>
        <v/>
      </c>
      <c r="N38" s="8" t="n"/>
      <c r="O38" s="8">
        <f>M38-N38</f>
        <v/>
      </c>
    </row>
    <row r="39" ht="20" customHeight="1">
      <c r="A39" s="10" t="n"/>
      <c r="B39" s="10" t="n"/>
      <c r="C39" s="10" t="n"/>
      <c r="D39" s="11" t="inlineStr">
        <is>
          <t>TOTAL</t>
        </is>
      </c>
      <c r="E39" s="12">
        <f>SUM(E4:E38)</f>
        <v/>
      </c>
      <c r="F39" s="12">
        <f>SUM(F4:F38)</f>
        <v/>
      </c>
      <c r="G39" s="10" t="n"/>
      <c r="H39" s="12">
        <f>SUM(H4:H38)</f>
        <v/>
      </c>
      <c r="I39" s="10" t="n"/>
      <c r="J39" s="10" t="n"/>
      <c r="K39" s="12">
        <f>SUM(K4:K38)</f>
        <v/>
      </c>
      <c r="L39" s="12">
        <f>SUM(L4:L38)</f>
        <v/>
      </c>
      <c r="M39" s="12">
        <f>SUM(M4:M38)</f>
        <v/>
      </c>
      <c r="N39" s="12">
        <f>SUM(N4:N38)</f>
        <v/>
      </c>
      <c r="O39" s="12">
        <f>SUM(O4:O38)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cols>
    <col width="4.5" customWidth="1" min="1" max="1"/>
    <col width="13" customWidth="1" min="2" max="2"/>
    <col width="14" customWidth="1" min="3" max="3"/>
    <col width="12" customWidth="1" min="4" max="4"/>
    <col width="15" customWidth="1" min="5" max="5"/>
    <col width="14" customWidth="1" min="6" max="6"/>
    <col width="14" customWidth="1" min="7" max="7"/>
    <col width="15" customWidth="1" min="8" max="8"/>
    <col width="10" customWidth="1" min="9" max="9"/>
    <col width="10" customWidth="1" min="10" max="10"/>
    <col width="15" customWidth="1" min="11" max="11"/>
    <col width="14" customWidth="1" min="12" max="12"/>
    <col width="16" customWidth="1" min="13" max="13"/>
    <col width="14" customWidth="1" min="14" max="14"/>
    <col width="16" customWidth="1" min="15" max="15"/>
  </cols>
  <sheetData>
    <row r="1" ht="24" customHeight="1">
      <c r="E1" s="1" t="inlineStr">
        <is>
          <t>CÁLCULO DIFERENCIAL DE ALÍQUOTA</t>
        </is>
      </c>
      <c r="N1" s="2" t="inlineStr">
        <is>
          <t>Código: RP-158                        Revisão: 00</t>
        </is>
      </c>
    </row>
    <row r="2" ht="20" customHeight="1">
      <c r="A2" s="3" t="inlineStr">
        <is>
          <t>Empresa:                                                                  I.E.:                                 Comp: 03/2026</t>
        </is>
      </c>
    </row>
    <row r="3" ht="28" customHeight="1">
      <c r="A3" s="4" t="inlineStr"/>
      <c r="B3" s="4" t="inlineStr">
        <is>
          <t>DATA ENTRADA</t>
        </is>
      </c>
      <c r="C3" s="4" t="inlineStr">
        <is>
          <t>DATA EMISSÃO</t>
        </is>
      </c>
      <c r="D3" s="4" t="inlineStr">
        <is>
          <t>N.  FISCAL</t>
        </is>
      </c>
      <c r="E3" s="5" t="inlineStr">
        <is>
          <t xml:space="preserve">   V. CONTÁBIL</t>
        </is>
      </c>
      <c r="F3" s="5" t="inlineStr">
        <is>
          <t xml:space="preserve"> IPI + DESP</t>
        </is>
      </c>
      <c r="G3" s="4" t="inlineStr">
        <is>
          <t>ALIQ. SIMPLES</t>
        </is>
      </c>
      <c r="H3" s="5" t="inlineStr">
        <is>
          <t>B.CÁLCULO</t>
        </is>
      </c>
      <c r="I3" s="5" t="inlineStr">
        <is>
          <t xml:space="preserve">  A. DST</t>
        </is>
      </c>
      <c r="J3" s="5" t="inlineStr">
        <is>
          <t xml:space="preserve">  A.ORI</t>
        </is>
      </c>
      <c r="K3" s="5" t="inlineStr">
        <is>
          <t>DÉBITO</t>
        </is>
      </c>
      <c r="L3" s="5" t="inlineStr">
        <is>
          <t>CRÉDITO</t>
        </is>
      </c>
      <c r="M3" s="5" t="inlineStr">
        <is>
          <t>VR.DEVIDO</t>
        </is>
      </c>
      <c r="N3" s="5" t="inlineStr">
        <is>
          <t>VR. PAGO</t>
        </is>
      </c>
      <c r="O3" s="5" t="inlineStr">
        <is>
          <t>DIFER.</t>
        </is>
      </c>
    </row>
    <row r="4" ht="18" customHeight="1">
      <c r="A4" s="6" t="n"/>
      <c r="B4" s="7" t="n"/>
      <c r="C4" s="7" t="n"/>
      <c r="D4" s="6" t="n"/>
      <c r="E4" s="8" t="n"/>
      <c r="F4" s="8" t="n"/>
      <c r="G4" s="6" t="n"/>
      <c r="H4" s="8">
        <f>IF(G4="",0,(IF(G4="N",((E4+F4)-(E4*J4%))/(1-(I4/100)),IF(G4="S",((E4+F4)/(1-(I4/100))),IF(G4&gt;0,((E4+F4)-(E4*G4))/(1-(I4/100)))))))</f>
        <v/>
      </c>
      <c r="I4" s="9" t="n"/>
      <c r="J4" s="9" t="n"/>
      <c r="K4" s="8">
        <f>H4*I4%</f>
        <v/>
      </c>
      <c r="L4" s="8">
        <f>E4*J4%</f>
        <v/>
      </c>
      <c r="M4" s="8">
        <f>IF(G4="",0,IF(G4="S",H4*((I4-J4)%),IF(G4="N",K4-L4,IF(G4&gt;0,H4*((I4-J4)%)))))</f>
        <v/>
      </c>
      <c r="N4" s="8" t="n"/>
      <c r="O4" s="8">
        <f>M4-N4</f>
        <v/>
      </c>
    </row>
    <row r="5" ht="18" customHeight="1">
      <c r="A5" s="6" t="n"/>
      <c r="B5" s="7" t="n"/>
      <c r="C5" s="7" t="n"/>
      <c r="D5" s="6" t="n"/>
      <c r="E5" s="8" t="n"/>
      <c r="F5" s="8" t="n"/>
      <c r="G5" s="6" t="n"/>
      <c r="H5" s="8">
        <f>IF(G5="",0,(IF(G5="N",((E5+F5)-(E5*J5%))/(1-(I5/100)),IF(G5="S",((E5+F5)/(1-(I5/100))),IF(G5&gt;0,((E5+F5)-(E5*G5))/(1-(I5/100)))))))</f>
        <v/>
      </c>
      <c r="I5" s="9" t="n"/>
      <c r="J5" s="9" t="n"/>
      <c r="K5" s="8">
        <f>H5*I5%</f>
        <v/>
      </c>
      <c r="L5" s="8">
        <f>E5*J5%</f>
        <v/>
      </c>
      <c r="M5" s="8">
        <f>IF(G5="",0,IF(G5="S",H5*((I5-J5)%),IF(G5="N",K5-L5,IF(G5&gt;0,H5*((I5-J5)%)))))</f>
        <v/>
      </c>
      <c r="N5" s="8" t="n"/>
      <c r="O5" s="8">
        <f>M5-N5</f>
        <v/>
      </c>
    </row>
    <row r="6" ht="18" customHeight="1">
      <c r="A6" s="6" t="n"/>
      <c r="B6" s="7" t="n"/>
      <c r="C6" s="7" t="n"/>
      <c r="D6" s="6" t="n"/>
      <c r="E6" s="8" t="n"/>
      <c r="F6" s="8" t="n"/>
      <c r="G6" s="6" t="n"/>
      <c r="H6" s="8">
        <f>IF(G6="",0,(IF(G6="N",((E6+F6)-(E6*J6%))/(1-(I6/100)),IF(G6="S",((E6+F6)/(1-(I6/100))),IF(G6&gt;0,((E6+F6)-(E6*G6))/(1-(I6/100)))))))</f>
        <v/>
      </c>
      <c r="I6" s="9" t="n"/>
      <c r="J6" s="9" t="n"/>
      <c r="K6" s="8">
        <f>H6*I6%</f>
        <v/>
      </c>
      <c r="L6" s="8">
        <f>E6*J6%</f>
        <v/>
      </c>
      <c r="M6" s="8">
        <f>IF(G6="",0,IF(G6="S",H6*((I6-J6)%),IF(G6="N",K6-L6,IF(G6&gt;0,H6*((I6-J6)%)))))</f>
        <v/>
      </c>
      <c r="N6" s="8" t="n"/>
      <c r="O6" s="8">
        <f>M6-N6</f>
        <v/>
      </c>
    </row>
    <row r="7" ht="18" customHeight="1">
      <c r="A7" s="6" t="n"/>
      <c r="B7" s="7" t="n"/>
      <c r="C7" s="7" t="n"/>
      <c r="D7" s="6" t="n"/>
      <c r="E7" s="8" t="n"/>
      <c r="F7" s="8" t="n"/>
      <c r="G7" s="6" t="n"/>
      <c r="H7" s="8">
        <f>IF(G7="",0,(IF(G7="N",((E7+F7)-(E7*J7%))/(1-(I7/100)),IF(G7="S",((E7+F7)/(1-(I7/100))),IF(G7&gt;0,((E7+F7)-(E7*G7))/(1-(I7/100)))))))</f>
        <v/>
      </c>
      <c r="I7" s="9" t="n"/>
      <c r="J7" s="9" t="n"/>
      <c r="K7" s="8">
        <f>H7*I7%</f>
        <v/>
      </c>
      <c r="L7" s="8">
        <f>E7*J7%</f>
        <v/>
      </c>
      <c r="M7" s="8">
        <f>IF(G7="",0,IF(G7="S",H7*((I7-J7)%),IF(G7="N",K7-L7,IF(G7&gt;0,H7*((I7-J7)%)))))</f>
        <v/>
      </c>
      <c r="N7" s="8" t="n"/>
      <c r="O7" s="8">
        <f>M7-N7</f>
        <v/>
      </c>
    </row>
    <row r="8" ht="18" customHeight="1">
      <c r="A8" s="6" t="n"/>
      <c r="B8" s="7" t="n"/>
      <c r="C8" s="7" t="n"/>
      <c r="D8" s="6" t="n"/>
      <c r="E8" s="8" t="n"/>
      <c r="F8" s="8" t="n"/>
      <c r="G8" s="6" t="n"/>
      <c r="H8" s="8">
        <f>IF(G8="",0,(IF(G8="N",((E8+F8)-(E8*J8%))/(1-(I8/100)),IF(G8="S",((E8+F8)/(1-(I8/100))),IF(G8&gt;0,((E8+F8)-(E8*G8))/(1-(I8/100)))))))</f>
        <v/>
      </c>
      <c r="I8" s="9" t="n"/>
      <c r="J8" s="9" t="n"/>
      <c r="K8" s="8">
        <f>H8*I8%</f>
        <v/>
      </c>
      <c r="L8" s="8">
        <f>E8*J8%</f>
        <v/>
      </c>
      <c r="M8" s="8">
        <f>IF(G8="",0,IF(G8="S",H8*((I8-J8)%),IF(G8="N",K8-L8,IF(G8&gt;0,H8*((I8-J8)%)))))</f>
        <v/>
      </c>
      <c r="N8" s="8" t="n"/>
      <c r="O8" s="8">
        <f>M8-N8</f>
        <v/>
      </c>
    </row>
    <row r="9" ht="18" customHeight="1">
      <c r="A9" s="6" t="n"/>
      <c r="B9" s="7" t="n"/>
      <c r="C9" s="7" t="n"/>
      <c r="D9" s="6" t="n"/>
      <c r="E9" s="8" t="n"/>
      <c r="F9" s="8" t="n"/>
      <c r="G9" s="6" t="n"/>
      <c r="H9" s="8">
        <f>IF(G9="",0,(IF(G9="N",((E9+F9)-(E9*J9%))/(1-(I9/100)),IF(G9="S",((E9+F9)/(1-(I9/100))),IF(G9&gt;0,((E9+F9)-(E9*G9))/(1-(I9/100)))))))</f>
        <v/>
      </c>
      <c r="I9" s="9" t="n"/>
      <c r="J9" s="9" t="n"/>
      <c r="K9" s="8">
        <f>H9*I9%</f>
        <v/>
      </c>
      <c r="L9" s="8">
        <f>E9*J9%</f>
        <v/>
      </c>
      <c r="M9" s="8">
        <f>IF(G9="",0,IF(G9="S",H9*((I9-J9)%),IF(G9="N",K9-L9,IF(G9&gt;0,H9*((I9-J9)%)))))</f>
        <v/>
      </c>
      <c r="N9" s="8" t="n"/>
      <c r="O9" s="8">
        <f>M9-N9</f>
        <v/>
      </c>
    </row>
    <row r="10" ht="18" customHeight="1">
      <c r="A10" s="6" t="n"/>
      <c r="B10" s="7" t="n"/>
      <c r="C10" s="7" t="n"/>
      <c r="D10" s="6" t="n"/>
      <c r="E10" s="8" t="n"/>
      <c r="F10" s="8" t="n"/>
      <c r="G10" s="6" t="n"/>
      <c r="H10" s="8">
        <f>IF(G10="",0,(IF(G10="N",((E10+F10)-(E10*J10%))/(1-(I10/100)),IF(G10="S",((E10+F10)/(1-(I10/100))),IF(G10&gt;0,((E10+F10)-(E10*G10))/(1-(I10/100)))))))</f>
        <v/>
      </c>
      <c r="I10" s="9" t="n"/>
      <c r="J10" s="9" t="n"/>
      <c r="K10" s="8">
        <f>H10*I10%</f>
        <v/>
      </c>
      <c r="L10" s="8">
        <f>E10*J10%</f>
        <v/>
      </c>
      <c r="M10" s="8">
        <f>IF(G10="",0,IF(G10="S",H10*((I10-J10)%),IF(G10="N",K10-L10,IF(G10&gt;0,H10*((I10-J10)%)))))</f>
        <v/>
      </c>
      <c r="N10" s="8" t="n"/>
      <c r="O10" s="8">
        <f>M10-N10</f>
        <v/>
      </c>
    </row>
    <row r="11" ht="18" customHeight="1">
      <c r="A11" s="6" t="n"/>
      <c r="B11" s="7" t="n"/>
      <c r="C11" s="7" t="n"/>
      <c r="D11" s="6" t="n"/>
      <c r="E11" s="8" t="n"/>
      <c r="F11" s="8" t="n"/>
      <c r="G11" s="6" t="n"/>
      <c r="H11" s="8">
        <f>IF(G11="",0,(IF(G11="N",((E11+F11)-(E11*J11%))/(1-(I11/100)),IF(G11="S",((E11+F11)/(1-(I11/100))),IF(G11&gt;0,((E11+F11)-(E11*G11))/(1-(I11/100)))))))</f>
        <v/>
      </c>
      <c r="I11" s="9" t="n"/>
      <c r="J11" s="9" t="n"/>
      <c r="K11" s="8">
        <f>H11*I11%</f>
        <v/>
      </c>
      <c r="L11" s="8">
        <f>E11*J11%</f>
        <v/>
      </c>
      <c r="M11" s="8">
        <f>IF(G11="",0,IF(G11="S",H11*((I11-J11)%),IF(G11="N",K11-L11,IF(G11&gt;0,H11*((I11-J11)%)))))</f>
        <v/>
      </c>
      <c r="N11" s="8" t="n"/>
      <c r="O11" s="8">
        <f>M11-N11</f>
        <v/>
      </c>
    </row>
    <row r="12" ht="18" customHeight="1">
      <c r="A12" s="6" t="n"/>
      <c r="B12" s="7" t="n"/>
      <c r="C12" s="7" t="n"/>
      <c r="D12" s="6" t="n"/>
      <c r="E12" s="8" t="n"/>
      <c r="F12" s="8" t="n"/>
      <c r="G12" s="6" t="n"/>
      <c r="H12" s="8">
        <f>IF(G12="",0,(IF(G12="N",((E12+F12)-(E12*J12%))/(1-(I12/100)),IF(G12="S",((E12+F12)/(1-(I12/100))),IF(G12&gt;0,((E12+F12)-(E12*G12))/(1-(I12/100)))))))</f>
        <v/>
      </c>
      <c r="I12" s="9" t="n"/>
      <c r="J12" s="9" t="n"/>
      <c r="K12" s="8">
        <f>H12*I12%</f>
        <v/>
      </c>
      <c r="L12" s="8">
        <f>E12*J12%</f>
        <v/>
      </c>
      <c r="M12" s="8">
        <f>IF(G12="",0,IF(G12="S",H12*((I12-J12)%),IF(G12="N",K12-L12,IF(G12&gt;0,H12*((I12-J12)%)))))</f>
        <v/>
      </c>
      <c r="N12" s="8" t="n"/>
      <c r="O12" s="8">
        <f>M12-N12</f>
        <v/>
      </c>
    </row>
    <row r="13" ht="18" customHeight="1">
      <c r="A13" s="6" t="n"/>
      <c r="B13" s="7" t="n"/>
      <c r="C13" s="7" t="n"/>
      <c r="D13" s="6" t="n"/>
      <c r="E13" s="8" t="n"/>
      <c r="F13" s="8" t="n"/>
      <c r="G13" s="6" t="n"/>
      <c r="H13" s="8">
        <f>IF(G13="",0,(IF(G13="N",((E13+F13)-(E13*J13%))/(1-(I13/100)),IF(G13="S",((E13+F13)/(1-(I13/100))),IF(G13&gt;0,((E13+F13)-(E13*G13))/(1-(I13/100)))))))</f>
        <v/>
      </c>
      <c r="I13" s="9" t="n"/>
      <c r="J13" s="9" t="n"/>
      <c r="K13" s="8">
        <f>H13*I13%</f>
        <v/>
      </c>
      <c r="L13" s="8">
        <f>E13*J13%</f>
        <v/>
      </c>
      <c r="M13" s="8">
        <f>IF(G13="",0,IF(G13="S",H13*((I13-J13)%),IF(G13="N",K13-L13,IF(G13&gt;0,H13*((I13-J13)%)))))</f>
        <v/>
      </c>
      <c r="N13" s="8" t="n"/>
      <c r="O13" s="8">
        <f>M13-N13</f>
        <v/>
      </c>
    </row>
    <row r="14" ht="18" customHeight="1">
      <c r="A14" s="6" t="n"/>
      <c r="B14" s="7" t="n"/>
      <c r="C14" s="7" t="n"/>
      <c r="D14" s="6" t="n"/>
      <c r="E14" s="8" t="n"/>
      <c r="F14" s="8" t="n"/>
      <c r="G14" s="6" t="n"/>
      <c r="H14" s="8">
        <f>IF(G14="",0,(IF(G14="N",((E14+F14)-(E14*J14%))/(1-(I14/100)),IF(G14="S",((E14+F14)/(1-(I14/100))),IF(G14&gt;0,((E14+F14)-(E14*G14))/(1-(I14/100)))))))</f>
        <v/>
      </c>
      <c r="I14" s="9" t="n"/>
      <c r="J14" s="9" t="n"/>
      <c r="K14" s="8">
        <f>H14*I14%</f>
        <v/>
      </c>
      <c r="L14" s="8">
        <f>E14*J14%</f>
        <v/>
      </c>
      <c r="M14" s="8">
        <f>IF(G14="",0,IF(G14="S",H14*((I14-J14)%),IF(G14="N",K14-L14,IF(G14&gt;0,H14*((I14-J14)%)))))</f>
        <v/>
      </c>
      <c r="N14" s="8" t="n"/>
      <c r="O14" s="8">
        <f>M14-N14</f>
        <v/>
      </c>
    </row>
    <row r="15" ht="18" customHeight="1">
      <c r="A15" s="6" t="n"/>
      <c r="B15" s="7" t="n"/>
      <c r="C15" s="7" t="n"/>
      <c r="D15" s="6" t="n"/>
      <c r="E15" s="8" t="n"/>
      <c r="F15" s="8" t="n"/>
      <c r="G15" s="6" t="n"/>
      <c r="H15" s="8">
        <f>IF(G15="",0,(IF(G15="N",((E15+F15)-(E15*J15%))/(1-(I15/100)),IF(G15="S",((E15+F15)/(1-(I15/100))),IF(G15&gt;0,((E15+F15)-(E15*G15))/(1-(I15/100)))))))</f>
        <v/>
      </c>
      <c r="I15" s="9" t="n"/>
      <c r="J15" s="9" t="n"/>
      <c r="K15" s="8">
        <f>H15*I15%</f>
        <v/>
      </c>
      <c r="L15" s="8">
        <f>E15*J15%</f>
        <v/>
      </c>
      <c r="M15" s="8">
        <f>IF(G15="",0,IF(G15="S",H15*((I15-J15)%),IF(G15="N",K15-L15,IF(G15&gt;0,H15*((I15-J15)%)))))</f>
        <v/>
      </c>
      <c r="N15" s="8" t="n"/>
      <c r="O15" s="8">
        <f>M15-N15</f>
        <v/>
      </c>
    </row>
    <row r="16" ht="18" customHeight="1">
      <c r="A16" s="6" t="n"/>
      <c r="B16" s="7" t="n"/>
      <c r="C16" s="7" t="n"/>
      <c r="D16" s="6" t="n"/>
      <c r="E16" s="8" t="n"/>
      <c r="F16" s="8" t="n"/>
      <c r="G16" s="6" t="n"/>
      <c r="H16" s="8">
        <f>IF(G16="",0,(IF(G16="N",((E16+F16)-(E16*J16%))/(1-(I16/100)),IF(G16="S",((E16+F16)/(1-(I16/100))),IF(G16&gt;0,((E16+F16)-(E16*G16))/(1-(I16/100)))))))</f>
        <v/>
      </c>
      <c r="I16" s="9" t="n"/>
      <c r="J16" s="9" t="n"/>
      <c r="K16" s="8">
        <f>H16*I16%</f>
        <v/>
      </c>
      <c r="L16" s="8">
        <f>E16*J16%</f>
        <v/>
      </c>
      <c r="M16" s="8">
        <f>IF(G16="",0,IF(G16="S",H16*((I16-J16)%),IF(G16="N",K16-L16,IF(G16&gt;0,H16*((I16-J16)%)))))</f>
        <v/>
      </c>
      <c r="N16" s="8" t="n"/>
      <c r="O16" s="8">
        <f>M16-N16</f>
        <v/>
      </c>
    </row>
    <row r="17" ht="18" customHeight="1">
      <c r="A17" s="6" t="n"/>
      <c r="B17" s="7" t="n"/>
      <c r="C17" s="7" t="n"/>
      <c r="D17" s="6" t="n"/>
      <c r="E17" s="8" t="n"/>
      <c r="F17" s="8" t="n"/>
      <c r="G17" s="6" t="n"/>
      <c r="H17" s="8">
        <f>IF(G17="",0,(IF(G17="N",((E17+F17)-(E17*J17%))/(1-(I17/100)),IF(G17="S",((E17+F17)/(1-(I17/100))),IF(G17&gt;0,((E17+F17)-(E17*G17))/(1-(I17/100)))))))</f>
        <v/>
      </c>
      <c r="I17" s="9" t="n"/>
      <c r="J17" s="9" t="n"/>
      <c r="K17" s="8">
        <f>H17*I17%</f>
        <v/>
      </c>
      <c r="L17" s="8">
        <f>E17*J17%</f>
        <v/>
      </c>
      <c r="M17" s="8">
        <f>IF(G17="",0,IF(G17="S",H17*((I17-J17)%),IF(G17="N",K17-L17,IF(G17&gt;0,H17*((I17-J17)%)))))</f>
        <v/>
      </c>
      <c r="N17" s="8" t="n"/>
      <c r="O17" s="8">
        <f>M17-N17</f>
        <v/>
      </c>
    </row>
    <row r="18" ht="18" customHeight="1">
      <c r="A18" s="6" t="n"/>
      <c r="B18" s="7" t="n"/>
      <c r="C18" s="7" t="n"/>
      <c r="D18" s="6" t="n"/>
      <c r="E18" s="8" t="n"/>
      <c r="F18" s="8" t="n"/>
      <c r="G18" s="6" t="n"/>
      <c r="H18" s="8">
        <f>IF(G18="",0,(IF(G18="N",((E18+F18)-(E18*J18%))/(1-(I18/100)),IF(G18="S",((E18+F18)/(1-(I18/100))),IF(G18&gt;0,((E18+F18)-(E18*G18))/(1-(I18/100)))))))</f>
        <v/>
      </c>
      <c r="I18" s="9" t="n"/>
      <c r="J18" s="9" t="n"/>
      <c r="K18" s="8">
        <f>H18*I18%</f>
        <v/>
      </c>
      <c r="L18" s="8">
        <f>E18*J18%</f>
        <v/>
      </c>
      <c r="M18" s="8">
        <f>IF(G18="",0,IF(G18="S",H18*((I18-J18)%),IF(G18="N",K18-L18,IF(G18&gt;0,H18*((I18-J18)%)))))</f>
        <v/>
      </c>
      <c r="N18" s="8" t="n"/>
      <c r="O18" s="8">
        <f>M18-N18</f>
        <v/>
      </c>
    </row>
    <row r="19" ht="18" customHeight="1">
      <c r="A19" s="6" t="n"/>
      <c r="B19" s="7" t="n"/>
      <c r="C19" s="7" t="n"/>
      <c r="D19" s="6" t="n"/>
      <c r="E19" s="8" t="n"/>
      <c r="F19" s="8" t="n"/>
      <c r="G19" s="6" t="n"/>
      <c r="H19" s="8">
        <f>IF(G19="",0,(IF(G19="N",((E19+F19)-(E19*J19%))/(1-(I19/100)),IF(G19="S",((E19+F19)/(1-(I19/100))),IF(G19&gt;0,((E19+F19)-(E19*G19))/(1-(I19/100)))))))</f>
        <v/>
      </c>
      <c r="I19" s="9" t="n"/>
      <c r="J19" s="9" t="n"/>
      <c r="K19" s="8">
        <f>H19*I19%</f>
        <v/>
      </c>
      <c r="L19" s="8">
        <f>E19*J19%</f>
        <v/>
      </c>
      <c r="M19" s="8">
        <f>IF(G19="",0,IF(G19="S",H19*((I19-J19)%),IF(G19="N",K19-L19,IF(G19&gt;0,H19*((I19-J19)%)))))</f>
        <v/>
      </c>
      <c r="N19" s="8" t="n"/>
      <c r="O19" s="8">
        <f>M19-N19</f>
        <v/>
      </c>
    </row>
    <row r="20" ht="18" customHeight="1">
      <c r="A20" s="6" t="n"/>
      <c r="B20" s="7" t="n"/>
      <c r="C20" s="7" t="n"/>
      <c r="D20" s="6" t="n"/>
      <c r="E20" s="8" t="n"/>
      <c r="F20" s="8" t="n"/>
      <c r="G20" s="6" t="n"/>
      <c r="H20" s="8">
        <f>IF(G20="",0,(IF(G20="N",((E20+F20)-(E20*J20%))/(1-(I20/100)),IF(G20="S",((E20+F20)/(1-(I20/100))),IF(G20&gt;0,((E20+F20)-(E20*G20))/(1-(I20/100)))))))</f>
        <v/>
      </c>
      <c r="I20" s="9" t="n"/>
      <c r="J20" s="9" t="n"/>
      <c r="K20" s="8">
        <f>H20*I20%</f>
        <v/>
      </c>
      <c r="L20" s="8">
        <f>E20*J20%</f>
        <v/>
      </c>
      <c r="M20" s="8">
        <f>IF(G20="",0,IF(G20="S",H20*((I20-J20)%),IF(G20="N",K20-L20,IF(G20&gt;0,H20*((I20-J20)%)))))</f>
        <v/>
      </c>
      <c r="N20" s="8" t="n"/>
      <c r="O20" s="8">
        <f>M20-N20</f>
        <v/>
      </c>
    </row>
    <row r="21" ht="18" customHeight="1">
      <c r="A21" s="6" t="n"/>
      <c r="B21" s="7" t="n"/>
      <c r="C21" s="7" t="n"/>
      <c r="D21" s="6" t="n"/>
      <c r="E21" s="8" t="n"/>
      <c r="F21" s="8" t="n"/>
      <c r="G21" s="6" t="n"/>
      <c r="H21" s="8">
        <f>IF(G21="",0,(IF(G21="N",((E21+F21)-(E21*J21%))/(1-(I21/100)),IF(G21="S",((E21+F21)/(1-(I21/100))),IF(G21&gt;0,((E21+F21)-(E21*G21))/(1-(I21/100)))))))</f>
        <v/>
      </c>
      <c r="I21" s="9" t="n"/>
      <c r="J21" s="9" t="n"/>
      <c r="K21" s="8">
        <f>H21*I21%</f>
        <v/>
      </c>
      <c r="L21" s="8">
        <f>E21*J21%</f>
        <v/>
      </c>
      <c r="M21" s="8">
        <f>IF(G21="",0,IF(G21="S",H21*((I21-J21)%),IF(G21="N",K21-L21,IF(G21&gt;0,H21*((I21-J21)%)))))</f>
        <v/>
      </c>
      <c r="N21" s="8" t="n"/>
      <c r="O21" s="8">
        <f>M21-N21</f>
        <v/>
      </c>
    </row>
    <row r="22" ht="18" customHeight="1">
      <c r="A22" s="6" t="n"/>
      <c r="B22" s="7" t="n"/>
      <c r="C22" s="7" t="n"/>
      <c r="D22" s="6" t="n"/>
      <c r="E22" s="8" t="n"/>
      <c r="F22" s="8" t="n"/>
      <c r="G22" s="6" t="n"/>
      <c r="H22" s="8">
        <f>IF(G22="",0,(IF(G22="N",((E22+F22)-(E22*J22%))/(1-(I22/100)),IF(G22="S",((E22+F22)/(1-(I22/100))),IF(G22&gt;0,((E22+F22)-(E22*G22))/(1-(I22/100)))))))</f>
        <v/>
      </c>
      <c r="I22" s="9" t="n"/>
      <c r="J22" s="9" t="n"/>
      <c r="K22" s="8">
        <f>H22*I22%</f>
        <v/>
      </c>
      <c r="L22" s="8">
        <f>E22*J22%</f>
        <v/>
      </c>
      <c r="M22" s="8">
        <f>IF(G22="",0,IF(G22="S",H22*((I22-J22)%),IF(G22="N",K22-L22,IF(G22&gt;0,H22*((I22-J22)%)))))</f>
        <v/>
      </c>
      <c r="N22" s="8" t="n"/>
      <c r="O22" s="8">
        <f>M22-N22</f>
        <v/>
      </c>
    </row>
    <row r="23" ht="18" customHeight="1">
      <c r="A23" s="6" t="n"/>
      <c r="B23" s="7" t="n"/>
      <c r="C23" s="7" t="n"/>
      <c r="D23" s="6" t="n"/>
      <c r="E23" s="8" t="n"/>
      <c r="F23" s="8" t="n"/>
      <c r="G23" s="6" t="n"/>
      <c r="H23" s="8">
        <f>IF(G23="",0,(IF(G23="N",((E23+F23)-(E23*J23%))/(1-(I23/100)),IF(G23="S",((E23+F23)/(1-(I23/100))),IF(G23&gt;0,((E23+F23)-(E23*G23))/(1-(I23/100)))))))</f>
        <v/>
      </c>
      <c r="I23" s="9" t="n"/>
      <c r="J23" s="9" t="n"/>
      <c r="K23" s="8">
        <f>H23*I23%</f>
        <v/>
      </c>
      <c r="L23" s="8">
        <f>E23*J23%</f>
        <v/>
      </c>
      <c r="M23" s="8">
        <f>IF(G23="",0,IF(G23="S",H23*((I23-J23)%),IF(G23="N",K23-L23,IF(G23&gt;0,H23*((I23-J23)%)))))</f>
        <v/>
      </c>
      <c r="N23" s="8" t="n"/>
      <c r="O23" s="8">
        <f>M23-N23</f>
        <v/>
      </c>
    </row>
    <row r="24" ht="18" customHeight="1">
      <c r="A24" s="6" t="n"/>
      <c r="B24" s="7" t="n"/>
      <c r="C24" s="7" t="n"/>
      <c r="D24" s="6" t="n"/>
      <c r="E24" s="8" t="n"/>
      <c r="F24" s="8" t="n"/>
      <c r="G24" s="6" t="n"/>
      <c r="H24" s="8">
        <f>IF(G24="",0,(IF(G24="N",((E24+F24)-(E24*J24%))/(1-(I24/100)),IF(G24="S",((E24+F24)/(1-(I24/100))),IF(G24&gt;0,((E24+F24)-(E24*G24))/(1-(I24/100)))))))</f>
        <v/>
      </c>
      <c r="I24" s="9" t="n"/>
      <c r="J24" s="9" t="n"/>
      <c r="K24" s="8">
        <f>H24*I24%</f>
        <v/>
      </c>
      <c r="L24" s="8">
        <f>E24*J24%</f>
        <v/>
      </c>
      <c r="M24" s="8">
        <f>IF(G24="",0,IF(G24="S",H24*((I24-J24)%),IF(G24="N",K24-L24,IF(G24&gt;0,H24*((I24-J24)%)))))</f>
        <v/>
      </c>
      <c r="N24" s="8" t="n"/>
      <c r="O24" s="8">
        <f>M24-N24</f>
        <v/>
      </c>
    </row>
    <row r="25" ht="18" customHeight="1">
      <c r="A25" s="6" t="n"/>
      <c r="B25" s="7" t="n"/>
      <c r="C25" s="7" t="n"/>
      <c r="D25" s="6" t="n"/>
      <c r="E25" s="8" t="n"/>
      <c r="F25" s="8" t="n"/>
      <c r="G25" s="6" t="n"/>
      <c r="H25" s="8">
        <f>IF(G25="",0,(IF(G25="N",((E25+F25)-(E25*J25%))/(1-(I25/100)),IF(G25="S",((E25+F25)/(1-(I25/100))),IF(G25&gt;0,((E25+F25)-(E25*G25))/(1-(I25/100)))))))</f>
        <v/>
      </c>
      <c r="I25" s="9" t="n"/>
      <c r="J25" s="9" t="n"/>
      <c r="K25" s="8">
        <f>H25*I25%</f>
        <v/>
      </c>
      <c r="L25" s="8">
        <f>E25*J25%</f>
        <v/>
      </c>
      <c r="M25" s="8">
        <f>IF(G25="",0,IF(G25="S",H25*((I25-J25)%),IF(G25="N",K25-L25,IF(G25&gt;0,H25*((I25-J25)%)))))</f>
        <v/>
      </c>
      <c r="N25" s="8" t="n"/>
      <c r="O25" s="8">
        <f>M25-N25</f>
        <v/>
      </c>
    </row>
    <row r="26" ht="18" customHeight="1">
      <c r="A26" s="6" t="n"/>
      <c r="B26" s="7" t="n"/>
      <c r="C26" s="7" t="n"/>
      <c r="D26" s="6" t="n"/>
      <c r="E26" s="8" t="n"/>
      <c r="F26" s="8" t="n"/>
      <c r="G26" s="6" t="n"/>
      <c r="H26" s="8">
        <f>IF(G26="",0,(IF(G26="N",((E26+F26)-(E26*J26%))/(1-(I26/100)),IF(G26="S",((E26+F26)/(1-(I26/100))),IF(G26&gt;0,((E26+F26)-(E26*G26))/(1-(I26/100)))))))</f>
        <v/>
      </c>
      <c r="I26" s="9" t="n"/>
      <c r="J26" s="9" t="n"/>
      <c r="K26" s="8">
        <f>H26*I26%</f>
        <v/>
      </c>
      <c r="L26" s="8">
        <f>E26*J26%</f>
        <v/>
      </c>
      <c r="M26" s="8">
        <f>IF(G26="",0,IF(G26="S",H26*((I26-J26)%),IF(G26="N",K26-L26,IF(G26&gt;0,H26*((I26-J26)%)))))</f>
        <v/>
      </c>
      <c r="N26" s="8" t="n"/>
      <c r="O26" s="8">
        <f>M26-N26</f>
        <v/>
      </c>
    </row>
    <row r="27" ht="18" customHeight="1">
      <c r="A27" s="6" t="n"/>
      <c r="B27" s="7" t="n"/>
      <c r="C27" s="7" t="n"/>
      <c r="D27" s="6" t="n"/>
      <c r="E27" s="8" t="n"/>
      <c r="F27" s="8" t="n"/>
      <c r="G27" s="6" t="n"/>
      <c r="H27" s="8">
        <f>IF(G27="",0,(IF(G27="N",((E27+F27)-(E27*J27%))/(1-(I27/100)),IF(G27="S",((E27+F27)/(1-(I27/100))),IF(G27&gt;0,((E27+F27)-(E27*G27))/(1-(I27/100)))))))</f>
        <v/>
      </c>
      <c r="I27" s="9" t="n"/>
      <c r="J27" s="9" t="n"/>
      <c r="K27" s="8">
        <f>H27*I27%</f>
        <v/>
      </c>
      <c r="L27" s="8">
        <f>E27*J27%</f>
        <v/>
      </c>
      <c r="M27" s="8">
        <f>IF(G27="",0,IF(G27="S",H27*((I27-J27)%),IF(G27="N",K27-L27,IF(G27&gt;0,H27*((I27-J27)%)))))</f>
        <v/>
      </c>
      <c r="N27" s="8" t="n"/>
      <c r="O27" s="8">
        <f>M27-N27</f>
        <v/>
      </c>
    </row>
    <row r="28" ht="18" customHeight="1">
      <c r="A28" s="6" t="n"/>
      <c r="B28" s="7" t="n"/>
      <c r="C28" s="7" t="n"/>
      <c r="D28" s="6" t="n"/>
      <c r="E28" s="8" t="n"/>
      <c r="F28" s="8" t="n"/>
      <c r="G28" s="6" t="n"/>
      <c r="H28" s="8">
        <f>IF(G28="",0,(IF(G28="N",((E28+F28)-(E28*J28%))/(1-(I28/100)),IF(G28="S",((E28+F28)/(1-(I28/100))),IF(G28&gt;0,((E28+F28)-(E28*G28))/(1-(I28/100)))))))</f>
        <v/>
      </c>
      <c r="I28" s="9" t="n"/>
      <c r="J28" s="9" t="n"/>
      <c r="K28" s="8">
        <f>H28*I28%</f>
        <v/>
      </c>
      <c r="L28" s="8">
        <f>E28*J28%</f>
        <v/>
      </c>
      <c r="M28" s="8">
        <f>IF(G28="",0,IF(G28="S",H28*((I28-J28)%),IF(G28="N",K28-L28,IF(G28&gt;0,H28*((I28-J28)%)))))</f>
        <v/>
      </c>
      <c r="N28" s="8" t="n"/>
      <c r="O28" s="8">
        <f>M28-N28</f>
        <v/>
      </c>
    </row>
    <row r="29" ht="18" customHeight="1">
      <c r="A29" s="6" t="n"/>
      <c r="B29" s="7" t="n"/>
      <c r="C29" s="7" t="n"/>
      <c r="D29" s="6" t="n"/>
      <c r="E29" s="8" t="n"/>
      <c r="F29" s="8" t="n"/>
      <c r="G29" s="6" t="n"/>
      <c r="H29" s="8">
        <f>IF(G29="",0,(IF(G29="N",((E29+F29)-(E29*J29%))/(1-(I29/100)),IF(G29="S",((E29+F29)/(1-(I29/100))),IF(G29&gt;0,((E29+F29)-(E29*G29))/(1-(I29/100)))))))</f>
        <v/>
      </c>
      <c r="I29" s="9" t="n"/>
      <c r="J29" s="9" t="n"/>
      <c r="K29" s="8">
        <f>H29*I29%</f>
        <v/>
      </c>
      <c r="L29" s="8">
        <f>E29*J29%</f>
        <v/>
      </c>
      <c r="M29" s="8">
        <f>IF(G29="",0,IF(G29="S",H29*((I29-J29)%),IF(G29="N",K29-L29,IF(G29&gt;0,H29*((I29-J29)%)))))</f>
        <v/>
      </c>
      <c r="N29" s="8" t="n"/>
      <c r="O29" s="8">
        <f>M29-N29</f>
        <v/>
      </c>
    </row>
    <row r="30" ht="18" customHeight="1">
      <c r="A30" s="6" t="n"/>
      <c r="B30" s="7" t="n"/>
      <c r="C30" s="7" t="n"/>
      <c r="D30" s="6" t="n"/>
      <c r="E30" s="8" t="n"/>
      <c r="F30" s="8" t="n"/>
      <c r="G30" s="6" t="n"/>
      <c r="H30" s="8">
        <f>IF(G30="",0,(IF(G30="N",((E30+F30)-(E30*J30%))/(1-(I30/100)),IF(G30="S",((E30+F30)/(1-(I30/100))),IF(G30&gt;0,((E30+F30)-(E30*G30))/(1-(I30/100)))))))</f>
        <v/>
      </c>
      <c r="I30" s="9" t="n"/>
      <c r="J30" s="9" t="n"/>
      <c r="K30" s="8">
        <f>H30*I30%</f>
        <v/>
      </c>
      <c r="L30" s="8">
        <f>E30*J30%</f>
        <v/>
      </c>
      <c r="M30" s="8">
        <f>IF(G30="",0,IF(G30="S",H30*((I30-J30)%),IF(G30="N",K30-L30,IF(G30&gt;0,H30*((I30-J30)%)))))</f>
        <v/>
      </c>
      <c r="N30" s="8" t="n"/>
      <c r="O30" s="8">
        <f>M30-N30</f>
        <v/>
      </c>
    </row>
    <row r="31" ht="18" customHeight="1">
      <c r="A31" s="6" t="n"/>
      <c r="B31" s="7" t="n"/>
      <c r="C31" s="7" t="n"/>
      <c r="D31" s="6" t="n"/>
      <c r="E31" s="8" t="n"/>
      <c r="F31" s="8" t="n"/>
      <c r="G31" s="6" t="n"/>
      <c r="H31" s="8">
        <f>IF(G31="",0,(IF(G31="N",((E31+F31)-(E31*J31%))/(1-(I31/100)),IF(G31="S",((E31+F31)/(1-(I31/100))),IF(G31&gt;0,((E31+F31)-(E31*G31))/(1-(I31/100)))))))</f>
        <v/>
      </c>
      <c r="I31" s="9" t="n"/>
      <c r="J31" s="9" t="n"/>
      <c r="K31" s="8">
        <f>H31*I31%</f>
        <v/>
      </c>
      <c r="L31" s="8">
        <f>E31*J31%</f>
        <v/>
      </c>
      <c r="M31" s="8">
        <f>IF(G31="",0,IF(G31="S",H31*((I31-J31)%),IF(G31="N",K31-L31,IF(G31&gt;0,H31*((I31-J31)%)))))</f>
        <v/>
      </c>
      <c r="N31" s="8" t="n"/>
      <c r="O31" s="8">
        <f>M31-N31</f>
        <v/>
      </c>
    </row>
    <row r="32" ht="18" customHeight="1">
      <c r="A32" s="6" t="n"/>
      <c r="B32" s="7" t="n"/>
      <c r="C32" s="7" t="n"/>
      <c r="D32" s="6" t="n"/>
      <c r="E32" s="8" t="n"/>
      <c r="F32" s="8" t="n"/>
      <c r="G32" s="6" t="n"/>
      <c r="H32" s="8">
        <f>IF(G32="",0,(IF(G32="N",((E32+F32)-(E32*J32%))/(1-(I32/100)),IF(G32="S",((E32+F32)/(1-(I32/100))),IF(G32&gt;0,((E32+F32)-(E32*G32))/(1-(I32/100)))))))</f>
        <v/>
      </c>
      <c r="I32" s="9" t="n"/>
      <c r="J32" s="9" t="n"/>
      <c r="K32" s="8">
        <f>H32*I32%</f>
        <v/>
      </c>
      <c r="L32" s="8">
        <f>E32*J32%</f>
        <v/>
      </c>
      <c r="M32" s="8">
        <f>IF(G32="",0,IF(G32="S",H32*((I32-J32)%),IF(G32="N",K32-L32,IF(G32&gt;0,H32*((I32-J32)%)))))</f>
        <v/>
      </c>
      <c r="N32" s="8" t="n"/>
      <c r="O32" s="8">
        <f>M32-N32</f>
        <v/>
      </c>
    </row>
    <row r="33" ht="18" customHeight="1">
      <c r="A33" s="6" t="n"/>
      <c r="B33" s="7" t="n"/>
      <c r="C33" s="7" t="n"/>
      <c r="D33" s="6" t="n"/>
      <c r="E33" s="8" t="n"/>
      <c r="F33" s="8" t="n"/>
      <c r="G33" s="6" t="n"/>
      <c r="H33" s="8">
        <f>IF(G33="",0,(IF(G33="N",((E33+F33)-(E33*J33%))/(1-(I33/100)),IF(G33="S",((E33+F33)/(1-(I33/100))),IF(G33&gt;0,((E33+F33)-(E33*G33))/(1-(I33/100)))))))</f>
        <v/>
      </c>
      <c r="I33" s="9" t="n"/>
      <c r="J33" s="9" t="n"/>
      <c r="K33" s="8">
        <f>H33*I33%</f>
        <v/>
      </c>
      <c r="L33" s="8">
        <f>E33*J33%</f>
        <v/>
      </c>
      <c r="M33" s="8">
        <f>IF(G33="",0,IF(G33="S",H33*((I33-J33)%),IF(G33="N",K33-L33,IF(G33&gt;0,H33*((I33-J33)%)))))</f>
        <v/>
      </c>
      <c r="N33" s="8" t="n"/>
      <c r="O33" s="8">
        <f>M33-N33</f>
        <v/>
      </c>
    </row>
    <row r="34" ht="18" customHeight="1">
      <c r="A34" s="6" t="n"/>
      <c r="B34" s="7" t="n"/>
      <c r="C34" s="7" t="n"/>
      <c r="D34" s="6" t="n"/>
      <c r="E34" s="8" t="n"/>
      <c r="F34" s="8" t="n"/>
      <c r="G34" s="6" t="n"/>
      <c r="H34" s="8">
        <f>IF(G34="",0,(IF(G34="N",((E34+F34)-(E34*J34%))/(1-(I34/100)),IF(G34="S",((E34+F34)/(1-(I34/100))),IF(G34&gt;0,((E34+F34)-(E34*G34))/(1-(I34/100)))))))</f>
        <v/>
      </c>
      <c r="I34" s="9" t="n"/>
      <c r="J34" s="9" t="n"/>
      <c r="K34" s="8">
        <f>H34*I34%</f>
        <v/>
      </c>
      <c r="L34" s="8">
        <f>E34*J34%</f>
        <v/>
      </c>
      <c r="M34" s="8">
        <f>IF(G34="",0,IF(G34="S",H34*((I34-J34)%),IF(G34="N",K34-L34,IF(G34&gt;0,H34*((I34-J34)%)))))</f>
        <v/>
      </c>
      <c r="N34" s="8" t="n"/>
      <c r="O34" s="8">
        <f>M34-N34</f>
        <v/>
      </c>
    </row>
    <row r="35" ht="18" customHeight="1">
      <c r="A35" s="6" t="n"/>
      <c r="B35" s="7" t="n"/>
      <c r="C35" s="7" t="n"/>
      <c r="D35" s="6" t="n"/>
      <c r="E35" s="8" t="n"/>
      <c r="F35" s="8" t="n"/>
      <c r="G35" s="6" t="n"/>
      <c r="H35" s="8">
        <f>IF(G35="",0,(IF(G35="N",((E35+F35)-(E35*J35%))/(1-(I35/100)),IF(G35="S",((E35+F35)/(1-(I35/100))),IF(G35&gt;0,((E35+F35)-(E35*G35))/(1-(I35/100)))))))</f>
        <v/>
      </c>
      <c r="I35" s="9" t="n"/>
      <c r="J35" s="9" t="n"/>
      <c r="K35" s="8">
        <f>H35*I35%</f>
        <v/>
      </c>
      <c r="L35" s="8">
        <f>E35*J35%</f>
        <v/>
      </c>
      <c r="M35" s="8">
        <f>IF(G35="",0,IF(G35="S",H35*((I35-J35)%),IF(G35="N",K35-L35,IF(G35&gt;0,H35*((I35-J35)%)))))</f>
        <v/>
      </c>
      <c r="N35" s="8" t="n"/>
      <c r="O35" s="8">
        <f>M35-N35</f>
        <v/>
      </c>
    </row>
    <row r="36" ht="18" customHeight="1">
      <c r="A36" s="6" t="n"/>
      <c r="B36" s="7" t="n"/>
      <c r="C36" s="7" t="n"/>
      <c r="D36" s="6" t="n"/>
      <c r="E36" s="8" t="n"/>
      <c r="F36" s="8" t="n"/>
      <c r="G36" s="6" t="n"/>
      <c r="H36" s="8">
        <f>IF(G36="",0,(IF(G36="N",((E36+F36)-(E36*J36%))/(1-(I36/100)),IF(G36="S",((E36+F36)/(1-(I36/100))),IF(G36&gt;0,((E36+F36)-(E36*G36))/(1-(I36/100)))))))</f>
        <v/>
      </c>
      <c r="I36" s="9" t="n"/>
      <c r="J36" s="9" t="n"/>
      <c r="K36" s="8">
        <f>H36*I36%</f>
        <v/>
      </c>
      <c r="L36" s="8">
        <f>E36*J36%</f>
        <v/>
      </c>
      <c r="M36" s="8">
        <f>IF(G36="",0,IF(G36="S",H36*((I36-J36)%),IF(G36="N",K36-L36,IF(G36&gt;0,H36*((I36-J36)%)))))</f>
        <v/>
      </c>
      <c r="N36" s="8" t="n"/>
      <c r="O36" s="8">
        <f>M36-N36</f>
        <v/>
      </c>
    </row>
    <row r="37" ht="18" customHeight="1">
      <c r="A37" s="6" t="n"/>
      <c r="B37" s="7" t="n"/>
      <c r="C37" s="7" t="n"/>
      <c r="D37" s="6" t="n"/>
      <c r="E37" s="8" t="n"/>
      <c r="F37" s="8" t="n"/>
      <c r="G37" s="6" t="n"/>
      <c r="H37" s="8">
        <f>IF(G37="",0,(IF(G37="N",((E37+F37)-(E37*J37%))/(1-(I37/100)),IF(G37="S",((E37+F37)/(1-(I37/100))),IF(G37&gt;0,((E37+F37)-(E37*G37))/(1-(I37/100)))))))</f>
        <v/>
      </c>
      <c r="I37" s="9" t="n"/>
      <c r="J37" s="9" t="n"/>
      <c r="K37" s="8">
        <f>H37*I37%</f>
        <v/>
      </c>
      <c r="L37" s="8">
        <f>E37*J37%</f>
        <v/>
      </c>
      <c r="M37" s="8">
        <f>IF(G37="",0,IF(G37="S",H37*((I37-J37)%),IF(G37="N",K37-L37,IF(G37&gt;0,H37*((I37-J37)%)))))</f>
        <v/>
      </c>
      <c r="N37" s="8" t="n"/>
      <c r="O37" s="8">
        <f>M37-N37</f>
        <v/>
      </c>
    </row>
    <row r="38" ht="18" customHeight="1">
      <c r="A38" s="6" t="n"/>
      <c r="B38" s="7" t="n"/>
      <c r="C38" s="7" t="n"/>
      <c r="D38" s="6" t="n"/>
      <c r="E38" s="8" t="n"/>
      <c r="F38" s="8" t="n"/>
      <c r="G38" s="6" t="n"/>
      <c r="H38" s="8">
        <f>IF(G38="",0,(IF(G38="N",((E38+F38)-(E38*J38%))/(1-(I38/100)),IF(G38="S",((E38+F38)/(1-(I38/100))),IF(G38&gt;0,((E38+F38)-(E38*G38))/(1-(I38/100)))))))</f>
        <v/>
      </c>
      <c r="I38" s="9" t="n"/>
      <c r="J38" s="9" t="n"/>
      <c r="K38" s="8">
        <f>H38*I38%</f>
        <v/>
      </c>
      <c r="L38" s="8">
        <f>E38*J38%</f>
        <v/>
      </c>
      <c r="M38" s="8">
        <f>IF(G38="",0,IF(G38="S",H38*((I38-J38)%),IF(G38="N",K38-L38,IF(G38&gt;0,H38*((I38-J38)%)))))</f>
        <v/>
      </c>
      <c r="N38" s="8" t="n"/>
      <c r="O38" s="8">
        <f>M38-N38</f>
        <v/>
      </c>
    </row>
    <row r="39" ht="20" customHeight="1">
      <c r="A39" s="10" t="n"/>
      <c r="B39" s="10" t="n"/>
      <c r="C39" s="10" t="n"/>
      <c r="D39" s="11" t="inlineStr">
        <is>
          <t>TOTAL</t>
        </is>
      </c>
      <c r="E39" s="12">
        <f>SUM(E4:E38)</f>
        <v/>
      </c>
      <c r="F39" s="12">
        <f>SUM(F4:F38)</f>
        <v/>
      </c>
      <c r="G39" s="10" t="n"/>
      <c r="H39" s="12">
        <f>SUM(H4:H38)</f>
        <v/>
      </c>
      <c r="I39" s="10" t="n"/>
      <c r="J39" s="10" t="n"/>
      <c r="K39" s="12">
        <f>SUM(K4:K38)</f>
        <v/>
      </c>
      <c r="L39" s="12">
        <f>SUM(L4:L38)</f>
        <v/>
      </c>
      <c r="M39" s="12">
        <f>SUM(M4:M38)</f>
        <v/>
      </c>
      <c r="N39" s="12">
        <f>SUM(N4:N38)</f>
        <v/>
      </c>
      <c r="O39" s="12">
        <f>SUM(O4:O38)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cols>
    <col width="4.5" customWidth="1" min="1" max="1"/>
    <col width="13" customWidth="1" min="2" max="2"/>
    <col width="14" customWidth="1" min="3" max="3"/>
    <col width="12" customWidth="1" min="4" max="4"/>
    <col width="15" customWidth="1" min="5" max="5"/>
    <col width="14" customWidth="1" min="6" max="6"/>
    <col width="14" customWidth="1" min="7" max="7"/>
    <col width="15" customWidth="1" min="8" max="8"/>
    <col width="10" customWidth="1" min="9" max="9"/>
    <col width="10" customWidth="1" min="10" max="10"/>
    <col width="15" customWidth="1" min="11" max="11"/>
    <col width="14" customWidth="1" min="12" max="12"/>
    <col width="16" customWidth="1" min="13" max="13"/>
    <col width="14" customWidth="1" min="14" max="14"/>
    <col width="16" customWidth="1" min="15" max="15"/>
  </cols>
  <sheetData>
    <row r="1" ht="24" customHeight="1">
      <c r="E1" s="1" t="inlineStr">
        <is>
          <t>CÁLCULO DIFERENCIAL DE ALÍQUOTA</t>
        </is>
      </c>
      <c r="N1" s="2" t="inlineStr">
        <is>
          <t>Código: RP-158                        Revisão: 00</t>
        </is>
      </c>
    </row>
    <row r="2" ht="20" customHeight="1">
      <c r="A2" s="3" t="inlineStr">
        <is>
          <t>Empresa:                                                                  I.E.:                                 Comp: 04/2026</t>
        </is>
      </c>
    </row>
    <row r="3" ht="28" customHeight="1">
      <c r="A3" s="4" t="inlineStr"/>
      <c r="B3" s="4" t="inlineStr">
        <is>
          <t>DATA ENTRADA</t>
        </is>
      </c>
      <c r="C3" s="4" t="inlineStr">
        <is>
          <t>DATA EMISSÃO</t>
        </is>
      </c>
      <c r="D3" s="4" t="inlineStr">
        <is>
          <t>N.  FISCAL</t>
        </is>
      </c>
      <c r="E3" s="5" t="inlineStr">
        <is>
          <t xml:space="preserve">   V. CONTÁBIL</t>
        </is>
      </c>
      <c r="F3" s="5" t="inlineStr">
        <is>
          <t xml:space="preserve"> IPI + DESP</t>
        </is>
      </c>
      <c r="G3" s="4" t="inlineStr">
        <is>
          <t>ALIQ. SIMPLES</t>
        </is>
      </c>
      <c r="H3" s="5" t="inlineStr">
        <is>
          <t>B.CÁLCULO</t>
        </is>
      </c>
      <c r="I3" s="5" t="inlineStr">
        <is>
          <t xml:space="preserve">  A. DST</t>
        </is>
      </c>
      <c r="J3" s="5" t="inlineStr">
        <is>
          <t xml:space="preserve">  A.ORI</t>
        </is>
      </c>
      <c r="K3" s="5" t="inlineStr">
        <is>
          <t>DÉBITO</t>
        </is>
      </c>
      <c r="L3" s="5" t="inlineStr">
        <is>
          <t>CRÉDITO</t>
        </is>
      </c>
      <c r="M3" s="5" t="inlineStr">
        <is>
          <t>VR.DEVIDO</t>
        </is>
      </c>
      <c r="N3" s="5" t="inlineStr">
        <is>
          <t>VR. PAGO</t>
        </is>
      </c>
      <c r="O3" s="5" t="inlineStr">
        <is>
          <t>DIFER.</t>
        </is>
      </c>
    </row>
    <row r="4" ht="18" customHeight="1">
      <c r="A4" s="6" t="n"/>
      <c r="B4" s="7" t="n"/>
      <c r="C4" s="7" t="n"/>
      <c r="D4" s="6" t="n"/>
      <c r="E4" s="8" t="n"/>
      <c r="F4" s="8" t="n"/>
      <c r="G4" s="6" t="n"/>
      <c r="H4" s="8">
        <f>IF(G4="",0,(IF(G4="N",((E4+F4)-(E4*J4%))/(1-(I4/100)),IF(G4="S",((E4+F4)/(1-(I4/100))),IF(G4&gt;0,((E4+F4)-(E4*G4))/(1-(I4/100)))))))</f>
        <v/>
      </c>
      <c r="I4" s="9" t="n"/>
      <c r="J4" s="9" t="n"/>
      <c r="K4" s="8">
        <f>H4*I4%</f>
        <v/>
      </c>
      <c r="L4" s="8">
        <f>E4*J4%</f>
        <v/>
      </c>
      <c r="M4" s="8">
        <f>IF(G4="",0,IF(G4="S",H4*((I4-J4)%),IF(G4="N",K4-L4,IF(G4&gt;0,H4*((I4-J4)%)))))</f>
        <v/>
      </c>
      <c r="N4" s="8" t="n"/>
      <c r="O4" s="8">
        <f>M4-N4</f>
        <v/>
      </c>
    </row>
    <row r="5" ht="18" customHeight="1">
      <c r="A5" s="6" t="n"/>
      <c r="B5" s="7" t="n"/>
      <c r="C5" s="7" t="n"/>
      <c r="D5" s="6" t="n"/>
      <c r="E5" s="8" t="n"/>
      <c r="F5" s="8" t="n"/>
      <c r="G5" s="6" t="n"/>
      <c r="H5" s="8">
        <f>IF(G5="",0,(IF(G5="N",((E5+F5)-(E5*J5%))/(1-(I5/100)),IF(G5="S",((E5+F5)/(1-(I5/100))),IF(G5&gt;0,((E5+F5)-(E5*G5))/(1-(I5/100)))))))</f>
        <v/>
      </c>
      <c r="I5" s="9" t="n"/>
      <c r="J5" s="9" t="n"/>
      <c r="K5" s="8">
        <f>H5*I5%</f>
        <v/>
      </c>
      <c r="L5" s="8">
        <f>E5*J5%</f>
        <v/>
      </c>
      <c r="M5" s="8">
        <f>IF(G5="",0,IF(G5="S",H5*((I5-J5)%),IF(G5="N",K5-L5,IF(G5&gt;0,H5*((I5-J5)%)))))</f>
        <v/>
      </c>
      <c r="N5" s="8" t="n"/>
      <c r="O5" s="8">
        <f>M5-N5</f>
        <v/>
      </c>
    </row>
    <row r="6" ht="18" customHeight="1">
      <c r="A6" s="6" t="n"/>
      <c r="B6" s="7" t="n"/>
      <c r="C6" s="7" t="n"/>
      <c r="D6" s="6" t="n"/>
      <c r="E6" s="8" t="n"/>
      <c r="F6" s="8" t="n"/>
      <c r="G6" s="6" t="n"/>
      <c r="H6" s="8">
        <f>IF(G6="",0,(IF(G6="N",((E6+F6)-(E6*J6%))/(1-(I6/100)),IF(G6="S",((E6+F6)/(1-(I6/100))),IF(G6&gt;0,((E6+F6)-(E6*G6))/(1-(I6/100)))))))</f>
        <v/>
      </c>
      <c r="I6" s="9" t="n"/>
      <c r="J6" s="9" t="n"/>
      <c r="K6" s="8">
        <f>H6*I6%</f>
        <v/>
      </c>
      <c r="L6" s="8">
        <f>E6*J6%</f>
        <v/>
      </c>
      <c r="M6" s="8">
        <f>IF(G6="",0,IF(G6="S",H6*((I6-J6)%),IF(G6="N",K6-L6,IF(G6&gt;0,H6*((I6-J6)%)))))</f>
        <v/>
      </c>
      <c r="N6" s="8" t="n"/>
      <c r="O6" s="8">
        <f>M6-N6</f>
        <v/>
      </c>
    </row>
    <row r="7" ht="18" customHeight="1">
      <c r="A7" s="6" t="n"/>
      <c r="B7" s="7" t="n"/>
      <c r="C7" s="7" t="n"/>
      <c r="D7" s="6" t="n"/>
      <c r="E7" s="8" t="n"/>
      <c r="F7" s="8" t="n"/>
      <c r="G7" s="6" t="n"/>
      <c r="H7" s="8">
        <f>IF(G7="",0,(IF(G7="N",((E7+F7)-(E7*J7%))/(1-(I7/100)),IF(G7="S",((E7+F7)/(1-(I7/100))),IF(G7&gt;0,((E7+F7)-(E7*G7))/(1-(I7/100)))))))</f>
        <v/>
      </c>
      <c r="I7" s="9" t="n"/>
      <c r="J7" s="9" t="n"/>
      <c r="K7" s="8">
        <f>H7*I7%</f>
        <v/>
      </c>
      <c r="L7" s="8">
        <f>E7*J7%</f>
        <v/>
      </c>
      <c r="M7" s="8">
        <f>IF(G7="",0,IF(G7="S",H7*((I7-J7)%),IF(G7="N",K7-L7,IF(G7&gt;0,H7*((I7-J7)%)))))</f>
        <v/>
      </c>
      <c r="N7" s="8" t="n"/>
      <c r="O7" s="8">
        <f>M7-N7</f>
        <v/>
      </c>
    </row>
    <row r="8" ht="18" customHeight="1">
      <c r="A8" s="6" t="n"/>
      <c r="B8" s="7" t="n"/>
      <c r="C8" s="7" t="n"/>
      <c r="D8" s="6" t="n"/>
      <c r="E8" s="8" t="n"/>
      <c r="F8" s="8" t="n"/>
      <c r="G8" s="6" t="n"/>
      <c r="H8" s="8">
        <f>IF(G8="",0,(IF(G8="N",((E8+F8)-(E8*J8%))/(1-(I8/100)),IF(G8="S",((E8+F8)/(1-(I8/100))),IF(G8&gt;0,((E8+F8)-(E8*G8))/(1-(I8/100)))))))</f>
        <v/>
      </c>
      <c r="I8" s="9" t="n"/>
      <c r="J8" s="9" t="n"/>
      <c r="K8" s="8">
        <f>H8*I8%</f>
        <v/>
      </c>
      <c r="L8" s="8">
        <f>E8*J8%</f>
        <v/>
      </c>
      <c r="M8" s="8">
        <f>IF(G8="",0,IF(G8="S",H8*((I8-J8)%),IF(G8="N",K8-L8,IF(G8&gt;0,H8*((I8-J8)%)))))</f>
        <v/>
      </c>
      <c r="N8" s="8" t="n"/>
      <c r="O8" s="8">
        <f>M8-N8</f>
        <v/>
      </c>
    </row>
    <row r="9" ht="18" customHeight="1">
      <c r="A9" s="6" t="n"/>
      <c r="B9" s="7" t="n"/>
      <c r="C9" s="7" t="n"/>
      <c r="D9" s="6" t="n"/>
      <c r="E9" s="8" t="n"/>
      <c r="F9" s="8" t="n"/>
      <c r="G9" s="6" t="n"/>
      <c r="H9" s="8">
        <f>IF(G9="",0,(IF(G9="N",((E9+F9)-(E9*J9%))/(1-(I9/100)),IF(G9="S",((E9+F9)/(1-(I9/100))),IF(G9&gt;0,((E9+F9)-(E9*G9))/(1-(I9/100)))))))</f>
        <v/>
      </c>
      <c r="I9" s="9" t="n"/>
      <c r="J9" s="9" t="n"/>
      <c r="K9" s="8">
        <f>H9*I9%</f>
        <v/>
      </c>
      <c r="L9" s="8">
        <f>E9*J9%</f>
        <v/>
      </c>
      <c r="M9" s="8">
        <f>IF(G9="",0,IF(G9="S",H9*((I9-J9)%),IF(G9="N",K9-L9,IF(G9&gt;0,H9*((I9-J9)%)))))</f>
        <v/>
      </c>
      <c r="N9" s="8" t="n"/>
      <c r="O9" s="8">
        <f>M9-N9</f>
        <v/>
      </c>
    </row>
    <row r="10" ht="18" customHeight="1">
      <c r="A10" s="6" t="n"/>
      <c r="B10" s="7" t="n"/>
      <c r="C10" s="7" t="n"/>
      <c r="D10" s="6" t="n"/>
      <c r="E10" s="8" t="n"/>
      <c r="F10" s="8" t="n"/>
      <c r="G10" s="6" t="n"/>
      <c r="H10" s="8">
        <f>IF(G10="",0,(IF(G10="N",((E10+F10)-(E10*J10%))/(1-(I10/100)),IF(G10="S",((E10+F10)/(1-(I10/100))),IF(G10&gt;0,((E10+F10)-(E10*G10))/(1-(I10/100)))))))</f>
        <v/>
      </c>
      <c r="I10" s="9" t="n"/>
      <c r="J10" s="9" t="n"/>
      <c r="K10" s="8">
        <f>H10*I10%</f>
        <v/>
      </c>
      <c r="L10" s="8">
        <f>E10*J10%</f>
        <v/>
      </c>
      <c r="M10" s="8">
        <f>IF(G10="",0,IF(G10="S",H10*((I10-J10)%),IF(G10="N",K10-L10,IF(G10&gt;0,H10*((I10-J10)%)))))</f>
        <v/>
      </c>
      <c r="N10" s="8" t="n"/>
      <c r="O10" s="8">
        <f>M10-N10</f>
        <v/>
      </c>
    </row>
    <row r="11" ht="18" customHeight="1">
      <c r="A11" s="6" t="n"/>
      <c r="B11" s="7" t="n"/>
      <c r="C11" s="7" t="n"/>
      <c r="D11" s="6" t="n"/>
      <c r="E11" s="8" t="n"/>
      <c r="F11" s="8" t="n"/>
      <c r="G11" s="6" t="n"/>
      <c r="H11" s="8">
        <f>IF(G11="",0,(IF(G11="N",((E11+F11)-(E11*J11%))/(1-(I11/100)),IF(G11="S",((E11+F11)/(1-(I11/100))),IF(G11&gt;0,((E11+F11)-(E11*G11))/(1-(I11/100)))))))</f>
        <v/>
      </c>
      <c r="I11" s="9" t="n"/>
      <c r="J11" s="9" t="n"/>
      <c r="K11" s="8">
        <f>H11*I11%</f>
        <v/>
      </c>
      <c r="L11" s="8">
        <f>E11*J11%</f>
        <v/>
      </c>
      <c r="M11" s="8">
        <f>IF(G11="",0,IF(G11="S",H11*((I11-J11)%),IF(G11="N",K11-L11,IF(G11&gt;0,H11*((I11-J11)%)))))</f>
        <v/>
      </c>
      <c r="N11" s="8" t="n"/>
      <c r="O11" s="8">
        <f>M11-N11</f>
        <v/>
      </c>
    </row>
    <row r="12" ht="18" customHeight="1">
      <c r="A12" s="6" t="n"/>
      <c r="B12" s="7" t="n"/>
      <c r="C12" s="7" t="n"/>
      <c r="D12" s="6" t="n"/>
      <c r="E12" s="8" t="n"/>
      <c r="F12" s="8" t="n"/>
      <c r="G12" s="6" t="n"/>
      <c r="H12" s="8">
        <f>IF(G12="",0,(IF(G12="N",((E12+F12)-(E12*J12%))/(1-(I12/100)),IF(G12="S",((E12+F12)/(1-(I12/100))),IF(G12&gt;0,((E12+F12)-(E12*G12))/(1-(I12/100)))))))</f>
        <v/>
      </c>
      <c r="I12" s="9" t="n"/>
      <c r="J12" s="9" t="n"/>
      <c r="K12" s="8">
        <f>H12*I12%</f>
        <v/>
      </c>
      <c r="L12" s="8">
        <f>E12*J12%</f>
        <v/>
      </c>
      <c r="M12" s="8">
        <f>IF(G12="",0,IF(G12="S",H12*((I12-J12)%),IF(G12="N",K12-L12,IF(G12&gt;0,H12*((I12-J12)%)))))</f>
        <v/>
      </c>
      <c r="N12" s="8" t="n"/>
      <c r="O12" s="8">
        <f>M12-N12</f>
        <v/>
      </c>
    </row>
    <row r="13" ht="18" customHeight="1">
      <c r="A13" s="6" t="n"/>
      <c r="B13" s="7" t="n"/>
      <c r="C13" s="7" t="n"/>
      <c r="D13" s="6" t="n"/>
      <c r="E13" s="8" t="n"/>
      <c r="F13" s="8" t="n"/>
      <c r="G13" s="6" t="n"/>
      <c r="H13" s="8">
        <f>IF(G13="",0,(IF(G13="N",((E13+F13)-(E13*J13%))/(1-(I13/100)),IF(G13="S",((E13+F13)/(1-(I13/100))),IF(G13&gt;0,((E13+F13)-(E13*G13))/(1-(I13/100)))))))</f>
        <v/>
      </c>
      <c r="I13" s="9" t="n"/>
      <c r="J13" s="9" t="n"/>
      <c r="K13" s="8">
        <f>H13*I13%</f>
        <v/>
      </c>
      <c r="L13" s="8">
        <f>E13*J13%</f>
        <v/>
      </c>
      <c r="M13" s="8">
        <f>IF(G13="",0,IF(G13="S",H13*((I13-J13)%),IF(G13="N",K13-L13,IF(G13&gt;0,H13*((I13-J13)%)))))</f>
        <v/>
      </c>
      <c r="N13" s="8" t="n"/>
      <c r="O13" s="8">
        <f>M13-N13</f>
        <v/>
      </c>
    </row>
    <row r="14" ht="18" customHeight="1">
      <c r="A14" s="6" t="n"/>
      <c r="B14" s="7" t="n"/>
      <c r="C14" s="7" t="n"/>
      <c r="D14" s="6" t="n"/>
      <c r="E14" s="8" t="n"/>
      <c r="F14" s="8" t="n"/>
      <c r="G14" s="6" t="n"/>
      <c r="H14" s="8">
        <f>IF(G14="",0,(IF(G14="N",((E14+F14)-(E14*J14%))/(1-(I14/100)),IF(G14="S",((E14+F14)/(1-(I14/100))),IF(G14&gt;0,((E14+F14)-(E14*G14))/(1-(I14/100)))))))</f>
        <v/>
      </c>
      <c r="I14" s="9" t="n"/>
      <c r="J14" s="9" t="n"/>
      <c r="K14" s="8">
        <f>H14*I14%</f>
        <v/>
      </c>
      <c r="L14" s="8">
        <f>E14*J14%</f>
        <v/>
      </c>
      <c r="M14" s="8">
        <f>IF(G14="",0,IF(G14="S",H14*((I14-J14)%),IF(G14="N",K14-L14,IF(G14&gt;0,H14*((I14-J14)%)))))</f>
        <v/>
      </c>
      <c r="N14" s="8" t="n"/>
      <c r="O14" s="8">
        <f>M14-N14</f>
        <v/>
      </c>
    </row>
    <row r="15" ht="18" customHeight="1">
      <c r="A15" s="6" t="n"/>
      <c r="B15" s="7" t="n"/>
      <c r="C15" s="7" t="n"/>
      <c r="D15" s="6" t="n"/>
      <c r="E15" s="8" t="n"/>
      <c r="F15" s="8" t="n"/>
      <c r="G15" s="6" t="n"/>
      <c r="H15" s="8">
        <f>IF(G15="",0,(IF(G15="N",((E15+F15)-(E15*J15%))/(1-(I15/100)),IF(G15="S",((E15+F15)/(1-(I15/100))),IF(G15&gt;0,((E15+F15)-(E15*G15))/(1-(I15/100)))))))</f>
        <v/>
      </c>
      <c r="I15" s="9" t="n"/>
      <c r="J15" s="9" t="n"/>
      <c r="K15" s="8">
        <f>H15*I15%</f>
        <v/>
      </c>
      <c r="L15" s="8">
        <f>E15*J15%</f>
        <v/>
      </c>
      <c r="M15" s="8">
        <f>IF(G15="",0,IF(G15="S",H15*((I15-J15)%),IF(G15="N",K15-L15,IF(G15&gt;0,H15*((I15-J15)%)))))</f>
        <v/>
      </c>
      <c r="N15" s="8" t="n"/>
      <c r="O15" s="8">
        <f>M15-N15</f>
        <v/>
      </c>
    </row>
    <row r="16" ht="18" customHeight="1">
      <c r="A16" s="6" t="n"/>
      <c r="B16" s="7" t="n"/>
      <c r="C16" s="7" t="n"/>
      <c r="D16" s="6" t="n"/>
      <c r="E16" s="8" t="n"/>
      <c r="F16" s="8" t="n"/>
      <c r="G16" s="6" t="n"/>
      <c r="H16" s="8">
        <f>IF(G16="",0,(IF(G16="N",((E16+F16)-(E16*J16%))/(1-(I16/100)),IF(G16="S",((E16+F16)/(1-(I16/100))),IF(G16&gt;0,((E16+F16)-(E16*G16))/(1-(I16/100)))))))</f>
        <v/>
      </c>
      <c r="I16" s="9" t="n"/>
      <c r="J16" s="9" t="n"/>
      <c r="K16" s="8">
        <f>H16*I16%</f>
        <v/>
      </c>
      <c r="L16" s="8">
        <f>E16*J16%</f>
        <v/>
      </c>
      <c r="M16" s="8">
        <f>IF(G16="",0,IF(G16="S",H16*((I16-J16)%),IF(G16="N",K16-L16,IF(G16&gt;0,H16*((I16-J16)%)))))</f>
        <v/>
      </c>
      <c r="N16" s="8" t="n"/>
      <c r="O16" s="8">
        <f>M16-N16</f>
        <v/>
      </c>
    </row>
    <row r="17" ht="18" customHeight="1">
      <c r="A17" s="6" t="n"/>
      <c r="B17" s="7" t="n"/>
      <c r="C17" s="7" t="n"/>
      <c r="D17" s="6" t="n"/>
      <c r="E17" s="8" t="n"/>
      <c r="F17" s="8" t="n"/>
      <c r="G17" s="6" t="n"/>
      <c r="H17" s="8">
        <f>IF(G17="",0,(IF(G17="N",((E17+F17)-(E17*J17%))/(1-(I17/100)),IF(G17="S",((E17+F17)/(1-(I17/100))),IF(G17&gt;0,((E17+F17)-(E17*G17))/(1-(I17/100)))))))</f>
        <v/>
      </c>
      <c r="I17" s="9" t="n"/>
      <c r="J17" s="9" t="n"/>
      <c r="K17" s="8">
        <f>H17*I17%</f>
        <v/>
      </c>
      <c r="L17" s="8">
        <f>E17*J17%</f>
        <v/>
      </c>
      <c r="M17" s="8">
        <f>IF(G17="",0,IF(G17="S",H17*((I17-J17)%),IF(G17="N",K17-L17,IF(G17&gt;0,H17*((I17-J17)%)))))</f>
        <v/>
      </c>
      <c r="N17" s="8" t="n"/>
      <c r="O17" s="8">
        <f>M17-N17</f>
        <v/>
      </c>
    </row>
    <row r="18" ht="18" customHeight="1">
      <c r="A18" s="6" t="n"/>
      <c r="B18" s="7" t="n"/>
      <c r="C18" s="7" t="n"/>
      <c r="D18" s="6" t="n"/>
      <c r="E18" s="8" t="n"/>
      <c r="F18" s="8" t="n"/>
      <c r="G18" s="6" t="n"/>
      <c r="H18" s="8">
        <f>IF(G18="",0,(IF(G18="N",((E18+F18)-(E18*J18%))/(1-(I18/100)),IF(G18="S",((E18+F18)/(1-(I18/100))),IF(G18&gt;0,((E18+F18)-(E18*G18))/(1-(I18/100)))))))</f>
        <v/>
      </c>
      <c r="I18" s="9" t="n"/>
      <c r="J18" s="9" t="n"/>
      <c r="K18" s="8">
        <f>H18*I18%</f>
        <v/>
      </c>
      <c r="L18" s="8">
        <f>E18*J18%</f>
        <v/>
      </c>
      <c r="M18" s="8">
        <f>IF(G18="",0,IF(G18="S",H18*((I18-J18)%),IF(G18="N",K18-L18,IF(G18&gt;0,H18*((I18-J18)%)))))</f>
        <v/>
      </c>
      <c r="N18" s="8" t="n"/>
      <c r="O18" s="8">
        <f>M18-N18</f>
        <v/>
      </c>
    </row>
    <row r="19" ht="18" customHeight="1">
      <c r="A19" s="6" t="n"/>
      <c r="B19" s="7" t="n"/>
      <c r="C19" s="7" t="n"/>
      <c r="D19" s="6" t="n"/>
      <c r="E19" s="8" t="n"/>
      <c r="F19" s="8" t="n"/>
      <c r="G19" s="6" t="n"/>
      <c r="H19" s="8">
        <f>IF(G19="",0,(IF(G19="N",((E19+F19)-(E19*J19%))/(1-(I19/100)),IF(G19="S",((E19+F19)/(1-(I19/100))),IF(G19&gt;0,((E19+F19)-(E19*G19))/(1-(I19/100)))))))</f>
        <v/>
      </c>
      <c r="I19" s="9" t="n"/>
      <c r="J19" s="9" t="n"/>
      <c r="K19" s="8">
        <f>H19*I19%</f>
        <v/>
      </c>
      <c r="L19" s="8">
        <f>E19*J19%</f>
        <v/>
      </c>
      <c r="M19" s="8">
        <f>IF(G19="",0,IF(G19="S",H19*((I19-J19)%),IF(G19="N",K19-L19,IF(G19&gt;0,H19*((I19-J19)%)))))</f>
        <v/>
      </c>
      <c r="N19" s="8" t="n"/>
      <c r="O19" s="8">
        <f>M19-N19</f>
        <v/>
      </c>
    </row>
    <row r="20" ht="18" customHeight="1">
      <c r="A20" s="6" t="n"/>
      <c r="B20" s="7" t="n"/>
      <c r="C20" s="7" t="n"/>
      <c r="D20" s="6" t="n"/>
      <c r="E20" s="8" t="n"/>
      <c r="F20" s="8" t="n"/>
      <c r="G20" s="6" t="n"/>
      <c r="H20" s="8">
        <f>IF(G20="",0,(IF(G20="N",((E20+F20)-(E20*J20%))/(1-(I20/100)),IF(G20="S",((E20+F20)/(1-(I20/100))),IF(G20&gt;0,((E20+F20)-(E20*G20))/(1-(I20/100)))))))</f>
        <v/>
      </c>
      <c r="I20" s="9" t="n"/>
      <c r="J20" s="9" t="n"/>
      <c r="K20" s="8">
        <f>H20*I20%</f>
        <v/>
      </c>
      <c r="L20" s="8">
        <f>E20*J20%</f>
        <v/>
      </c>
      <c r="M20" s="8">
        <f>IF(G20="",0,IF(G20="S",H20*((I20-J20)%),IF(G20="N",K20-L20,IF(G20&gt;0,H20*((I20-J20)%)))))</f>
        <v/>
      </c>
      <c r="N20" s="8" t="n"/>
      <c r="O20" s="8">
        <f>M20-N20</f>
        <v/>
      </c>
    </row>
    <row r="21" ht="18" customHeight="1">
      <c r="A21" s="6" t="n"/>
      <c r="B21" s="7" t="n"/>
      <c r="C21" s="7" t="n"/>
      <c r="D21" s="6" t="n"/>
      <c r="E21" s="8" t="n"/>
      <c r="F21" s="8" t="n"/>
      <c r="G21" s="6" t="n"/>
      <c r="H21" s="8">
        <f>IF(G21="",0,(IF(G21="N",((E21+F21)-(E21*J21%))/(1-(I21/100)),IF(G21="S",((E21+F21)/(1-(I21/100))),IF(G21&gt;0,((E21+F21)-(E21*G21))/(1-(I21/100)))))))</f>
        <v/>
      </c>
      <c r="I21" s="9" t="n"/>
      <c r="J21" s="9" t="n"/>
      <c r="K21" s="8">
        <f>H21*I21%</f>
        <v/>
      </c>
      <c r="L21" s="8">
        <f>E21*J21%</f>
        <v/>
      </c>
      <c r="M21" s="8">
        <f>IF(G21="",0,IF(G21="S",H21*((I21-J21)%),IF(G21="N",K21-L21,IF(G21&gt;0,H21*((I21-J21)%)))))</f>
        <v/>
      </c>
      <c r="N21" s="8" t="n"/>
      <c r="O21" s="8">
        <f>M21-N21</f>
        <v/>
      </c>
    </row>
    <row r="22" ht="18" customHeight="1">
      <c r="A22" s="6" t="n"/>
      <c r="B22" s="7" t="n"/>
      <c r="C22" s="7" t="n"/>
      <c r="D22" s="6" t="n"/>
      <c r="E22" s="8" t="n"/>
      <c r="F22" s="8" t="n"/>
      <c r="G22" s="6" t="n"/>
      <c r="H22" s="8">
        <f>IF(G22="",0,(IF(G22="N",((E22+F22)-(E22*J22%))/(1-(I22/100)),IF(G22="S",((E22+F22)/(1-(I22/100))),IF(G22&gt;0,((E22+F22)-(E22*G22))/(1-(I22/100)))))))</f>
        <v/>
      </c>
      <c r="I22" s="9" t="n"/>
      <c r="J22" s="9" t="n"/>
      <c r="K22" s="8">
        <f>H22*I22%</f>
        <v/>
      </c>
      <c r="L22" s="8">
        <f>E22*J22%</f>
        <v/>
      </c>
      <c r="M22" s="8">
        <f>IF(G22="",0,IF(G22="S",H22*((I22-J22)%),IF(G22="N",K22-L22,IF(G22&gt;0,H22*((I22-J22)%)))))</f>
        <v/>
      </c>
      <c r="N22" s="8" t="n"/>
      <c r="O22" s="8">
        <f>M22-N22</f>
        <v/>
      </c>
    </row>
    <row r="23" ht="18" customHeight="1">
      <c r="A23" s="6" t="n"/>
      <c r="B23" s="7" t="n"/>
      <c r="C23" s="7" t="n"/>
      <c r="D23" s="6" t="n"/>
      <c r="E23" s="8" t="n"/>
      <c r="F23" s="8" t="n"/>
      <c r="G23" s="6" t="n"/>
      <c r="H23" s="8">
        <f>IF(G23="",0,(IF(G23="N",((E23+F23)-(E23*J23%))/(1-(I23/100)),IF(G23="S",((E23+F23)/(1-(I23/100))),IF(G23&gt;0,((E23+F23)-(E23*G23))/(1-(I23/100)))))))</f>
        <v/>
      </c>
      <c r="I23" s="9" t="n"/>
      <c r="J23" s="9" t="n"/>
      <c r="K23" s="8">
        <f>H23*I23%</f>
        <v/>
      </c>
      <c r="L23" s="8">
        <f>E23*J23%</f>
        <v/>
      </c>
      <c r="M23" s="8">
        <f>IF(G23="",0,IF(G23="S",H23*((I23-J23)%),IF(G23="N",K23-L23,IF(G23&gt;0,H23*((I23-J23)%)))))</f>
        <v/>
      </c>
      <c r="N23" s="8" t="n"/>
      <c r="O23" s="8">
        <f>M23-N23</f>
        <v/>
      </c>
    </row>
    <row r="24" ht="18" customHeight="1">
      <c r="A24" s="6" t="n"/>
      <c r="B24" s="7" t="n"/>
      <c r="C24" s="7" t="n"/>
      <c r="D24" s="6" t="n"/>
      <c r="E24" s="8" t="n"/>
      <c r="F24" s="8" t="n"/>
      <c r="G24" s="6" t="n"/>
      <c r="H24" s="8">
        <f>IF(G24="",0,(IF(G24="N",((E24+F24)-(E24*J24%))/(1-(I24/100)),IF(G24="S",((E24+F24)/(1-(I24/100))),IF(G24&gt;0,((E24+F24)-(E24*G24))/(1-(I24/100)))))))</f>
        <v/>
      </c>
      <c r="I24" s="9" t="n"/>
      <c r="J24" s="9" t="n"/>
      <c r="K24" s="8">
        <f>H24*I24%</f>
        <v/>
      </c>
      <c r="L24" s="8">
        <f>E24*J24%</f>
        <v/>
      </c>
      <c r="M24" s="8">
        <f>IF(G24="",0,IF(G24="S",H24*((I24-J24)%),IF(G24="N",K24-L24,IF(G24&gt;0,H24*((I24-J24)%)))))</f>
        <v/>
      </c>
      <c r="N24" s="8" t="n"/>
      <c r="O24" s="8">
        <f>M24-N24</f>
        <v/>
      </c>
    </row>
    <row r="25" ht="18" customHeight="1">
      <c r="A25" s="6" t="n"/>
      <c r="B25" s="7" t="n"/>
      <c r="C25" s="7" t="n"/>
      <c r="D25" s="6" t="n"/>
      <c r="E25" s="8" t="n"/>
      <c r="F25" s="8" t="n"/>
      <c r="G25" s="6" t="n"/>
      <c r="H25" s="8">
        <f>IF(G25="",0,(IF(G25="N",((E25+F25)-(E25*J25%))/(1-(I25/100)),IF(G25="S",((E25+F25)/(1-(I25/100))),IF(G25&gt;0,((E25+F25)-(E25*G25))/(1-(I25/100)))))))</f>
        <v/>
      </c>
      <c r="I25" s="9" t="n"/>
      <c r="J25" s="9" t="n"/>
      <c r="K25" s="8">
        <f>H25*I25%</f>
        <v/>
      </c>
      <c r="L25" s="8">
        <f>E25*J25%</f>
        <v/>
      </c>
      <c r="M25" s="8">
        <f>IF(G25="",0,IF(G25="S",H25*((I25-J25)%),IF(G25="N",K25-L25,IF(G25&gt;0,H25*((I25-J25)%)))))</f>
        <v/>
      </c>
      <c r="N25" s="8" t="n"/>
      <c r="O25" s="8">
        <f>M25-N25</f>
        <v/>
      </c>
    </row>
    <row r="26" ht="18" customHeight="1">
      <c r="A26" s="6" t="n"/>
      <c r="B26" s="7" t="n"/>
      <c r="C26" s="7" t="n"/>
      <c r="D26" s="6" t="n"/>
      <c r="E26" s="8" t="n"/>
      <c r="F26" s="8" t="n"/>
      <c r="G26" s="6" t="n"/>
      <c r="H26" s="8">
        <f>IF(G26="",0,(IF(G26="N",((E26+F26)-(E26*J26%))/(1-(I26/100)),IF(G26="S",((E26+F26)/(1-(I26/100))),IF(G26&gt;0,((E26+F26)-(E26*G26))/(1-(I26/100)))))))</f>
        <v/>
      </c>
      <c r="I26" s="9" t="n"/>
      <c r="J26" s="9" t="n"/>
      <c r="K26" s="8">
        <f>H26*I26%</f>
        <v/>
      </c>
      <c r="L26" s="8">
        <f>E26*J26%</f>
        <v/>
      </c>
      <c r="M26" s="8">
        <f>IF(G26="",0,IF(G26="S",H26*((I26-J26)%),IF(G26="N",K26-L26,IF(G26&gt;0,H26*((I26-J26)%)))))</f>
        <v/>
      </c>
      <c r="N26" s="8" t="n"/>
      <c r="O26" s="8">
        <f>M26-N26</f>
        <v/>
      </c>
    </row>
    <row r="27" ht="18" customHeight="1">
      <c r="A27" s="6" t="n"/>
      <c r="B27" s="7" t="n"/>
      <c r="C27" s="7" t="n"/>
      <c r="D27" s="6" t="n"/>
      <c r="E27" s="8" t="n"/>
      <c r="F27" s="8" t="n"/>
      <c r="G27" s="6" t="n"/>
      <c r="H27" s="8">
        <f>IF(G27="",0,(IF(G27="N",((E27+F27)-(E27*J27%))/(1-(I27/100)),IF(G27="S",((E27+F27)/(1-(I27/100))),IF(G27&gt;0,((E27+F27)-(E27*G27))/(1-(I27/100)))))))</f>
        <v/>
      </c>
      <c r="I27" s="9" t="n"/>
      <c r="J27" s="9" t="n"/>
      <c r="K27" s="8">
        <f>H27*I27%</f>
        <v/>
      </c>
      <c r="L27" s="8">
        <f>E27*J27%</f>
        <v/>
      </c>
      <c r="M27" s="8">
        <f>IF(G27="",0,IF(G27="S",H27*((I27-J27)%),IF(G27="N",K27-L27,IF(G27&gt;0,H27*((I27-J27)%)))))</f>
        <v/>
      </c>
      <c r="N27" s="8" t="n"/>
      <c r="O27" s="8">
        <f>M27-N27</f>
        <v/>
      </c>
    </row>
    <row r="28" ht="18" customHeight="1">
      <c r="A28" s="6" t="n"/>
      <c r="B28" s="7" t="n"/>
      <c r="C28" s="7" t="n"/>
      <c r="D28" s="6" t="n"/>
      <c r="E28" s="8" t="n"/>
      <c r="F28" s="8" t="n"/>
      <c r="G28" s="6" t="n"/>
      <c r="H28" s="8">
        <f>IF(G28="",0,(IF(G28="N",((E28+F28)-(E28*J28%))/(1-(I28/100)),IF(G28="S",((E28+F28)/(1-(I28/100))),IF(G28&gt;0,((E28+F28)-(E28*G28))/(1-(I28/100)))))))</f>
        <v/>
      </c>
      <c r="I28" s="9" t="n"/>
      <c r="J28" s="9" t="n"/>
      <c r="K28" s="8">
        <f>H28*I28%</f>
        <v/>
      </c>
      <c r="L28" s="8">
        <f>E28*J28%</f>
        <v/>
      </c>
      <c r="M28" s="8">
        <f>IF(G28="",0,IF(G28="S",H28*((I28-J28)%),IF(G28="N",K28-L28,IF(G28&gt;0,H28*((I28-J28)%)))))</f>
        <v/>
      </c>
      <c r="N28" s="8" t="n"/>
      <c r="O28" s="8">
        <f>M28-N28</f>
        <v/>
      </c>
    </row>
    <row r="29" ht="18" customHeight="1">
      <c r="A29" s="6" t="n"/>
      <c r="B29" s="7" t="n"/>
      <c r="C29" s="7" t="n"/>
      <c r="D29" s="6" t="n"/>
      <c r="E29" s="8" t="n"/>
      <c r="F29" s="8" t="n"/>
      <c r="G29" s="6" t="n"/>
      <c r="H29" s="8">
        <f>IF(G29="",0,(IF(G29="N",((E29+F29)-(E29*J29%))/(1-(I29/100)),IF(G29="S",((E29+F29)/(1-(I29/100))),IF(G29&gt;0,((E29+F29)-(E29*G29))/(1-(I29/100)))))))</f>
        <v/>
      </c>
      <c r="I29" s="9" t="n"/>
      <c r="J29" s="9" t="n"/>
      <c r="K29" s="8">
        <f>H29*I29%</f>
        <v/>
      </c>
      <c r="L29" s="8">
        <f>E29*J29%</f>
        <v/>
      </c>
      <c r="M29" s="8">
        <f>IF(G29="",0,IF(G29="S",H29*((I29-J29)%),IF(G29="N",K29-L29,IF(G29&gt;0,H29*((I29-J29)%)))))</f>
        <v/>
      </c>
      <c r="N29" s="8" t="n"/>
      <c r="O29" s="8">
        <f>M29-N29</f>
        <v/>
      </c>
    </row>
    <row r="30" ht="18" customHeight="1">
      <c r="A30" s="6" t="n"/>
      <c r="B30" s="7" t="n"/>
      <c r="C30" s="7" t="n"/>
      <c r="D30" s="6" t="n"/>
      <c r="E30" s="8" t="n"/>
      <c r="F30" s="8" t="n"/>
      <c r="G30" s="6" t="n"/>
      <c r="H30" s="8">
        <f>IF(G30="",0,(IF(G30="N",((E30+F30)-(E30*J30%))/(1-(I30/100)),IF(G30="S",((E30+F30)/(1-(I30/100))),IF(G30&gt;0,((E30+F30)-(E30*G30))/(1-(I30/100)))))))</f>
        <v/>
      </c>
      <c r="I30" s="9" t="n"/>
      <c r="J30" s="9" t="n"/>
      <c r="K30" s="8">
        <f>H30*I30%</f>
        <v/>
      </c>
      <c r="L30" s="8">
        <f>E30*J30%</f>
        <v/>
      </c>
      <c r="M30" s="8">
        <f>IF(G30="",0,IF(G30="S",H30*((I30-J30)%),IF(G30="N",K30-L30,IF(G30&gt;0,H30*((I30-J30)%)))))</f>
        <v/>
      </c>
      <c r="N30" s="8" t="n"/>
      <c r="O30" s="8">
        <f>M30-N30</f>
        <v/>
      </c>
    </row>
    <row r="31" ht="18" customHeight="1">
      <c r="A31" s="6" t="n"/>
      <c r="B31" s="7" t="n"/>
      <c r="C31" s="7" t="n"/>
      <c r="D31" s="6" t="n"/>
      <c r="E31" s="8" t="n"/>
      <c r="F31" s="8" t="n"/>
      <c r="G31" s="6" t="n"/>
      <c r="H31" s="8">
        <f>IF(G31="",0,(IF(G31="N",((E31+F31)-(E31*J31%))/(1-(I31/100)),IF(G31="S",((E31+F31)/(1-(I31/100))),IF(G31&gt;0,((E31+F31)-(E31*G31))/(1-(I31/100)))))))</f>
        <v/>
      </c>
      <c r="I31" s="9" t="n"/>
      <c r="J31" s="9" t="n"/>
      <c r="K31" s="8">
        <f>H31*I31%</f>
        <v/>
      </c>
      <c r="L31" s="8">
        <f>E31*J31%</f>
        <v/>
      </c>
      <c r="M31" s="8">
        <f>IF(G31="",0,IF(G31="S",H31*((I31-J31)%),IF(G31="N",K31-L31,IF(G31&gt;0,H31*((I31-J31)%)))))</f>
        <v/>
      </c>
      <c r="N31" s="8" t="n"/>
      <c r="O31" s="8">
        <f>M31-N31</f>
        <v/>
      </c>
    </row>
    <row r="32" ht="18" customHeight="1">
      <c r="A32" s="6" t="n"/>
      <c r="B32" s="7" t="n"/>
      <c r="C32" s="7" t="n"/>
      <c r="D32" s="6" t="n"/>
      <c r="E32" s="8" t="n"/>
      <c r="F32" s="8" t="n"/>
      <c r="G32" s="6" t="n"/>
      <c r="H32" s="8">
        <f>IF(G32="",0,(IF(G32="N",((E32+F32)-(E32*J32%))/(1-(I32/100)),IF(G32="S",((E32+F32)/(1-(I32/100))),IF(G32&gt;0,((E32+F32)-(E32*G32))/(1-(I32/100)))))))</f>
        <v/>
      </c>
      <c r="I32" s="9" t="n"/>
      <c r="J32" s="9" t="n"/>
      <c r="K32" s="8">
        <f>H32*I32%</f>
        <v/>
      </c>
      <c r="L32" s="8">
        <f>E32*J32%</f>
        <v/>
      </c>
      <c r="M32" s="8">
        <f>IF(G32="",0,IF(G32="S",H32*((I32-J32)%),IF(G32="N",K32-L32,IF(G32&gt;0,H32*((I32-J32)%)))))</f>
        <v/>
      </c>
      <c r="N32" s="8" t="n"/>
      <c r="O32" s="8">
        <f>M32-N32</f>
        <v/>
      </c>
    </row>
    <row r="33" ht="18" customHeight="1">
      <c r="A33" s="6" t="n"/>
      <c r="B33" s="7" t="n"/>
      <c r="C33" s="7" t="n"/>
      <c r="D33" s="6" t="n"/>
      <c r="E33" s="8" t="n"/>
      <c r="F33" s="8" t="n"/>
      <c r="G33" s="6" t="n"/>
      <c r="H33" s="8">
        <f>IF(G33="",0,(IF(G33="N",((E33+F33)-(E33*J33%))/(1-(I33/100)),IF(G33="S",((E33+F33)/(1-(I33/100))),IF(G33&gt;0,((E33+F33)-(E33*G33))/(1-(I33/100)))))))</f>
        <v/>
      </c>
      <c r="I33" s="9" t="n"/>
      <c r="J33" s="9" t="n"/>
      <c r="K33" s="8">
        <f>H33*I33%</f>
        <v/>
      </c>
      <c r="L33" s="8">
        <f>E33*J33%</f>
        <v/>
      </c>
      <c r="M33" s="8">
        <f>IF(G33="",0,IF(G33="S",H33*((I33-J33)%),IF(G33="N",K33-L33,IF(G33&gt;0,H33*((I33-J33)%)))))</f>
        <v/>
      </c>
      <c r="N33" s="8" t="n"/>
      <c r="O33" s="8">
        <f>M33-N33</f>
        <v/>
      </c>
    </row>
    <row r="34" ht="18" customHeight="1">
      <c r="A34" s="6" t="n"/>
      <c r="B34" s="7" t="n"/>
      <c r="C34" s="7" t="n"/>
      <c r="D34" s="6" t="n"/>
      <c r="E34" s="8" t="n"/>
      <c r="F34" s="8" t="n"/>
      <c r="G34" s="6" t="n"/>
      <c r="H34" s="8">
        <f>IF(G34="",0,(IF(G34="N",((E34+F34)-(E34*J34%))/(1-(I34/100)),IF(G34="S",((E34+F34)/(1-(I34/100))),IF(G34&gt;0,((E34+F34)-(E34*G34))/(1-(I34/100)))))))</f>
        <v/>
      </c>
      <c r="I34" s="9" t="n"/>
      <c r="J34" s="9" t="n"/>
      <c r="K34" s="8">
        <f>H34*I34%</f>
        <v/>
      </c>
      <c r="L34" s="8">
        <f>E34*J34%</f>
        <v/>
      </c>
      <c r="M34" s="8">
        <f>IF(G34="",0,IF(G34="S",H34*((I34-J34)%),IF(G34="N",K34-L34,IF(G34&gt;0,H34*((I34-J34)%)))))</f>
        <v/>
      </c>
      <c r="N34" s="8" t="n"/>
      <c r="O34" s="8">
        <f>M34-N34</f>
        <v/>
      </c>
    </row>
    <row r="35" ht="18" customHeight="1">
      <c r="A35" s="6" t="n"/>
      <c r="B35" s="7" t="n"/>
      <c r="C35" s="7" t="n"/>
      <c r="D35" s="6" t="n"/>
      <c r="E35" s="8" t="n"/>
      <c r="F35" s="8" t="n"/>
      <c r="G35" s="6" t="n"/>
      <c r="H35" s="8">
        <f>IF(G35="",0,(IF(G35="N",((E35+F35)-(E35*J35%))/(1-(I35/100)),IF(G35="S",((E35+F35)/(1-(I35/100))),IF(G35&gt;0,((E35+F35)-(E35*G35))/(1-(I35/100)))))))</f>
        <v/>
      </c>
      <c r="I35" s="9" t="n"/>
      <c r="J35" s="9" t="n"/>
      <c r="K35" s="8">
        <f>H35*I35%</f>
        <v/>
      </c>
      <c r="L35" s="8">
        <f>E35*J35%</f>
        <v/>
      </c>
      <c r="M35" s="8">
        <f>IF(G35="",0,IF(G35="S",H35*((I35-J35)%),IF(G35="N",K35-L35,IF(G35&gt;0,H35*((I35-J35)%)))))</f>
        <v/>
      </c>
      <c r="N35" s="8" t="n"/>
      <c r="O35" s="8">
        <f>M35-N35</f>
        <v/>
      </c>
    </row>
    <row r="36" ht="18" customHeight="1">
      <c r="A36" s="6" t="n"/>
      <c r="B36" s="7" t="n"/>
      <c r="C36" s="7" t="n"/>
      <c r="D36" s="6" t="n"/>
      <c r="E36" s="8" t="n"/>
      <c r="F36" s="8" t="n"/>
      <c r="G36" s="6" t="n"/>
      <c r="H36" s="8">
        <f>IF(G36="",0,(IF(G36="N",((E36+F36)-(E36*J36%))/(1-(I36/100)),IF(G36="S",((E36+F36)/(1-(I36/100))),IF(G36&gt;0,((E36+F36)-(E36*G36))/(1-(I36/100)))))))</f>
        <v/>
      </c>
      <c r="I36" s="9" t="n"/>
      <c r="J36" s="9" t="n"/>
      <c r="K36" s="8">
        <f>H36*I36%</f>
        <v/>
      </c>
      <c r="L36" s="8">
        <f>E36*J36%</f>
        <v/>
      </c>
      <c r="M36" s="8">
        <f>IF(G36="",0,IF(G36="S",H36*((I36-J36)%),IF(G36="N",K36-L36,IF(G36&gt;0,H36*((I36-J36)%)))))</f>
        <v/>
      </c>
      <c r="N36" s="8" t="n"/>
      <c r="O36" s="8">
        <f>M36-N36</f>
        <v/>
      </c>
    </row>
    <row r="37" ht="18" customHeight="1">
      <c r="A37" s="6" t="n"/>
      <c r="B37" s="7" t="n"/>
      <c r="C37" s="7" t="n"/>
      <c r="D37" s="6" t="n"/>
      <c r="E37" s="8" t="n"/>
      <c r="F37" s="8" t="n"/>
      <c r="G37" s="6" t="n"/>
      <c r="H37" s="8">
        <f>IF(G37="",0,(IF(G37="N",((E37+F37)-(E37*J37%))/(1-(I37/100)),IF(G37="S",((E37+F37)/(1-(I37/100))),IF(G37&gt;0,((E37+F37)-(E37*G37))/(1-(I37/100)))))))</f>
        <v/>
      </c>
      <c r="I37" s="9" t="n"/>
      <c r="J37" s="9" t="n"/>
      <c r="K37" s="8">
        <f>H37*I37%</f>
        <v/>
      </c>
      <c r="L37" s="8">
        <f>E37*J37%</f>
        <v/>
      </c>
      <c r="M37" s="8">
        <f>IF(G37="",0,IF(G37="S",H37*((I37-J37)%),IF(G37="N",K37-L37,IF(G37&gt;0,H37*((I37-J37)%)))))</f>
        <v/>
      </c>
      <c r="N37" s="8" t="n"/>
      <c r="O37" s="8">
        <f>M37-N37</f>
        <v/>
      </c>
    </row>
    <row r="38" ht="18" customHeight="1">
      <c r="A38" s="6" t="n"/>
      <c r="B38" s="7" t="n"/>
      <c r="C38" s="7" t="n"/>
      <c r="D38" s="6" t="n"/>
      <c r="E38" s="8" t="n"/>
      <c r="F38" s="8" t="n"/>
      <c r="G38" s="6" t="n"/>
      <c r="H38" s="8">
        <f>IF(G38="",0,(IF(G38="N",((E38+F38)-(E38*J38%))/(1-(I38/100)),IF(G38="S",((E38+F38)/(1-(I38/100))),IF(G38&gt;0,((E38+F38)-(E38*G38))/(1-(I38/100)))))))</f>
        <v/>
      </c>
      <c r="I38" s="9" t="n"/>
      <c r="J38" s="9" t="n"/>
      <c r="K38" s="8">
        <f>H38*I38%</f>
        <v/>
      </c>
      <c r="L38" s="8">
        <f>E38*J38%</f>
        <v/>
      </c>
      <c r="M38" s="8">
        <f>IF(G38="",0,IF(G38="S",H38*((I38-J38)%),IF(G38="N",K38-L38,IF(G38&gt;0,H38*((I38-J38)%)))))</f>
        <v/>
      </c>
      <c r="N38" s="8" t="n"/>
      <c r="O38" s="8">
        <f>M38-N38</f>
        <v/>
      </c>
    </row>
    <row r="39" ht="20" customHeight="1">
      <c r="A39" s="10" t="n"/>
      <c r="B39" s="10" t="n"/>
      <c r="C39" s="10" t="n"/>
      <c r="D39" s="11" t="inlineStr">
        <is>
          <t>TOTAL</t>
        </is>
      </c>
      <c r="E39" s="12">
        <f>SUM(E4:E38)</f>
        <v/>
      </c>
      <c r="F39" s="12">
        <f>SUM(F4:F38)</f>
        <v/>
      </c>
      <c r="G39" s="10" t="n"/>
      <c r="H39" s="12">
        <f>SUM(H4:H38)</f>
        <v/>
      </c>
      <c r="I39" s="10" t="n"/>
      <c r="J39" s="10" t="n"/>
      <c r="K39" s="12">
        <f>SUM(K4:K38)</f>
        <v/>
      </c>
      <c r="L39" s="12">
        <f>SUM(L4:L38)</f>
        <v/>
      </c>
      <c r="M39" s="12">
        <f>SUM(M4:M38)</f>
        <v/>
      </c>
      <c r="N39" s="12">
        <f>SUM(N4:N38)</f>
        <v/>
      </c>
      <c r="O39" s="12">
        <f>SUM(O4:O38)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cols>
    <col width="4.5" customWidth="1" min="1" max="1"/>
    <col width="13" customWidth="1" min="2" max="2"/>
    <col width="14" customWidth="1" min="3" max="3"/>
    <col width="12" customWidth="1" min="4" max="4"/>
    <col width="15" customWidth="1" min="5" max="5"/>
    <col width="14" customWidth="1" min="6" max="6"/>
    <col width="14" customWidth="1" min="7" max="7"/>
    <col width="15" customWidth="1" min="8" max="8"/>
    <col width="10" customWidth="1" min="9" max="9"/>
    <col width="10" customWidth="1" min="10" max="10"/>
    <col width="15" customWidth="1" min="11" max="11"/>
    <col width="14" customWidth="1" min="12" max="12"/>
    <col width="16" customWidth="1" min="13" max="13"/>
    <col width="14" customWidth="1" min="14" max="14"/>
    <col width="16" customWidth="1" min="15" max="15"/>
  </cols>
  <sheetData>
    <row r="1" ht="24" customHeight="1">
      <c r="E1" s="1" t="inlineStr">
        <is>
          <t>CÁLCULO DIFERENCIAL DE ALÍQUOTA</t>
        </is>
      </c>
      <c r="N1" s="2" t="inlineStr">
        <is>
          <t>Código: RP-158                        Revisão: 00</t>
        </is>
      </c>
    </row>
    <row r="2" ht="20" customHeight="1">
      <c r="A2" s="3" t="inlineStr">
        <is>
          <t>Empresa:                                                                  I.E.:                                 Comp: 05/2026</t>
        </is>
      </c>
    </row>
    <row r="3" ht="28" customHeight="1">
      <c r="A3" s="4" t="inlineStr"/>
      <c r="B3" s="4" t="inlineStr">
        <is>
          <t>DATA ENTRADA</t>
        </is>
      </c>
      <c r="C3" s="4" t="inlineStr">
        <is>
          <t>DATA EMISSÃO</t>
        </is>
      </c>
      <c r="D3" s="4" t="inlineStr">
        <is>
          <t>N.  FISCAL</t>
        </is>
      </c>
      <c r="E3" s="5" t="inlineStr">
        <is>
          <t xml:space="preserve">   V. CONTÁBIL</t>
        </is>
      </c>
      <c r="F3" s="5" t="inlineStr">
        <is>
          <t xml:space="preserve"> IPI + DESP</t>
        </is>
      </c>
      <c r="G3" s="4" t="inlineStr">
        <is>
          <t>ALIQ. SIMPLES</t>
        </is>
      </c>
      <c r="H3" s="5" t="inlineStr">
        <is>
          <t>B.CÁLCULO</t>
        </is>
      </c>
      <c r="I3" s="5" t="inlineStr">
        <is>
          <t xml:space="preserve">  A. DST</t>
        </is>
      </c>
      <c r="J3" s="5" t="inlineStr">
        <is>
          <t xml:space="preserve">  A.ORI</t>
        </is>
      </c>
      <c r="K3" s="5" t="inlineStr">
        <is>
          <t>DÉBITO</t>
        </is>
      </c>
      <c r="L3" s="5" t="inlineStr">
        <is>
          <t>CRÉDITO</t>
        </is>
      </c>
      <c r="M3" s="5" t="inlineStr">
        <is>
          <t>VR.DEVIDO</t>
        </is>
      </c>
      <c r="N3" s="5" t="inlineStr">
        <is>
          <t>VR. PAGO</t>
        </is>
      </c>
      <c r="O3" s="5" t="inlineStr">
        <is>
          <t>DIFER.</t>
        </is>
      </c>
    </row>
    <row r="4" ht="18" customHeight="1">
      <c r="A4" s="6" t="n"/>
      <c r="B4" s="7" t="n"/>
      <c r="C4" s="7" t="n"/>
      <c r="D4" s="6" t="n"/>
      <c r="E4" s="8" t="n"/>
      <c r="F4" s="8" t="n"/>
      <c r="G4" s="6" t="n"/>
      <c r="H4" s="8">
        <f>IF(G4="",0,(IF(G4="N",((E4+F4)-(E4*J4%))/(1-(I4/100)),IF(G4="S",((E4+F4)/(1-(I4/100))),IF(G4&gt;0,((E4+F4)-(E4*G4))/(1-(I4/100)))))))</f>
        <v/>
      </c>
      <c r="I4" s="9" t="n"/>
      <c r="J4" s="9" t="n"/>
      <c r="K4" s="8">
        <f>H4*I4%</f>
        <v/>
      </c>
      <c r="L4" s="8">
        <f>E4*J4%</f>
        <v/>
      </c>
      <c r="M4" s="8">
        <f>IF(G4="",0,IF(G4="S",H4*((I4-J4)%),IF(G4="N",K4-L4,IF(G4&gt;0,H4*((I4-J4)%)))))</f>
        <v/>
      </c>
      <c r="N4" s="8" t="n"/>
      <c r="O4" s="8">
        <f>M4-N4</f>
        <v/>
      </c>
    </row>
    <row r="5" ht="18" customHeight="1">
      <c r="A5" s="6" t="n"/>
      <c r="B5" s="7" t="n"/>
      <c r="C5" s="7" t="n"/>
      <c r="D5" s="6" t="n"/>
      <c r="E5" s="8" t="n"/>
      <c r="F5" s="8" t="n"/>
      <c r="G5" s="6" t="n"/>
      <c r="H5" s="8">
        <f>IF(G5="",0,(IF(G5="N",((E5+F5)-(E5*J5%))/(1-(I5/100)),IF(G5="S",((E5+F5)/(1-(I5/100))),IF(G5&gt;0,((E5+F5)-(E5*G5))/(1-(I5/100)))))))</f>
        <v/>
      </c>
      <c r="I5" s="9" t="n"/>
      <c r="J5" s="9" t="n"/>
      <c r="K5" s="8">
        <f>H5*I5%</f>
        <v/>
      </c>
      <c r="L5" s="8">
        <f>E5*J5%</f>
        <v/>
      </c>
      <c r="M5" s="8">
        <f>IF(G5="",0,IF(G5="S",H5*((I5-J5)%),IF(G5="N",K5-L5,IF(G5&gt;0,H5*((I5-J5)%)))))</f>
        <v/>
      </c>
      <c r="N5" s="8" t="n"/>
      <c r="O5" s="8">
        <f>M5-N5</f>
        <v/>
      </c>
    </row>
    <row r="6" ht="18" customHeight="1">
      <c r="A6" s="6" t="n"/>
      <c r="B6" s="7" t="n"/>
      <c r="C6" s="7" t="n"/>
      <c r="D6" s="6" t="n"/>
      <c r="E6" s="8" t="n"/>
      <c r="F6" s="8" t="n"/>
      <c r="G6" s="6" t="n"/>
      <c r="H6" s="8">
        <f>IF(G6="",0,(IF(G6="N",((E6+F6)-(E6*J6%))/(1-(I6/100)),IF(G6="S",((E6+F6)/(1-(I6/100))),IF(G6&gt;0,((E6+F6)-(E6*G6))/(1-(I6/100)))))))</f>
        <v/>
      </c>
      <c r="I6" s="9" t="n"/>
      <c r="J6" s="9" t="n"/>
      <c r="K6" s="8">
        <f>H6*I6%</f>
        <v/>
      </c>
      <c r="L6" s="8">
        <f>E6*J6%</f>
        <v/>
      </c>
      <c r="M6" s="8">
        <f>IF(G6="",0,IF(G6="S",H6*((I6-J6)%),IF(G6="N",K6-L6,IF(G6&gt;0,H6*((I6-J6)%)))))</f>
        <v/>
      </c>
      <c r="N6" s="8" t="n"/>
      <c r="O6" s="8">
        <f>M6-N6</f>
        <v/>
      </c>
    </row>
    <row r="7" ht="18" customHeight="1">
      <c r="A7" s="6" t="n"/>
      <c r="B7" s="7" t="n"/>
      <c r="C7" s="7" t="n"/>
      <c r="D7" s="6" t="n"/>
      <c r="E7" s="8" t="n"/>
      <c r="F7" s="8" t="n"/>
      <c r="G7" s="6" t="n"/>
      <c r="H7" s="8">
        <f>IF(G7="",0,(IF(G7="N",((E7+F7)-(E7*J7%))/(1-(I7/100)),IF(G7="S",((E7+F7)/(1-(I7/100))),IF(G7&gt;0,((E7+F7)-(E7*G7))/(1-(I7/100)))))))</f>
        <v/>
      </c>
      <c r="I7" s="9" t="n"/>
      <c r="J7" s="9" t="n"/>
      <c r="K7" s="8">
        <f>H7*I7%</f>
        <v/>
      </c>
      <c r="L7" s="8">
        <f>E7*J7%</f>
        <v/>
      </c>
      <c r="M7" s="8">
        <f>IF(G7="",0,IF(G7="S",H7*((I7-J7)%),IF(G7="N",K7-L7,IF(G7&gt;0,H7*((I7-J7)%)))))</f>
        <v/>
      </c>
      <c r="N7" s="8" t="n"/>
      <c r="O7" s="8">
        <f>M7-N7</f>
        <v/>
      </c>
    </row>
    <row r="8" ht="18" customHeight="1">
      <c r="A8" s="6" t="n"/>
      <c r="B8" s="7" t="n"/>
      <c r="C8" s="7" t="n"/>
      <c r="D8" s="6" t="n"/>
      <c r="E8" s="8" t="n"/>
      <c r="F8" s="8" t="n"/>
      <c r="G8" s="6" t="n"/>
      <c r="H8" s="8">
        <f>IF(G8="",0,(IF(G8="N",((E8+F8)-(E8*J8%))/(1-(I8/100)),IF(G8="S",((E8+F8)/(1-(I8/100))),IF(G8&gt;0,((E8+F8)-(E8*G8))/(1-(I8/100)))))))</f>
        <v/>
      </c>
      <c r="I8" s="9" t="n"/>
      <c r="J8" s="9" t="n"/>
      <c r="K8" s="8">
        <f>H8*I8%</f>
        <v/>
      </c>
      <c r="L8" s="8">
        <f>E8*J8%</f>
        <v/>
      </c>
      <c r="M8" s="8">
        <f>IF(G8="",0,IF(G8="S",H8*((I8-J8)%),IF(G8="N",K8-L8,IF(G8&gt;0,H8*((I8-J8)%)))))</f>
        <v/>
      </c>
      <c r="N8" s="8" t="n"/>
      <c r="O8" s="8">
        <f>M8-N8</f>
        <v/>
      </c>
    </row>
    <row r="9" ht="18" customHeight="1">
      <c r="A9" s="6" t="n"/>
      <c r="B9" s="7" t="n"/>
      <c r="C9" s="7" t="n"/>
      <c r="D9" s="6" t="n"/>
      <c r="E9" s="8" t="n"/>
      <c r="F9" s="8" t="n"/>
      <c r="G9" s="6" t="n"/>
      <c r="H9" s="8">
        <f>IF(G9="",0,(IF(G9="N",((E9+F9)-(E9*J9%))/(1-(I9/100)),IF(G9="S",((E9+F9)/(1-(I9/100))),IF(G9&gt;0,((E9+F9)-(E9*G9))/(1-(I9/100)))))))</f>
        <v/>
      </c>
      <c r="I9" s="9" t="n"/>
      <c r="J9" s="9" t="n"/>
      <c r="K9" s="8">
        <f>H9*I9%</f>
        <v/>
      </c>
      <c r="L9" s="8">
        <f>E9*J9%</f>
        <v/>
      </c>
      <c r="M9" s="8">
        <f>IF(G9="",0,IF(G9="S",H9*((I9-J9)%),IF(G9="N",K9-L9,IF(G9&gt;0,H9*((I9-J9)%)))))</f>
        <v/>
      </c>
      <c r="N9" s="8" t="n"/>
      <c r="O9" s="8">
        <f>M9-N9</f>
        <v/>
      </c>
    </row>
    <row r="10" ht="18" customHeight="1">
      <c r="A10" s="6" t="n"/>
      <c r="B10" s="7" t="n"/>
      <c r="C10" s="7" t="n"/>
      <c r="D10" s="6" t="n"/>
      <c r="E10" s="8" t="n"/>
      <c r="F10" s="8" t="n"/>
      <c r="G10" s="6" t="n"/>
      <c r="H10" s="8">
        <f>IF(G10="",0,(IF(G10="N",((E10+F10)-(E10*J10%))/(1-(I10/100)),IF(G10="S",((E10+F10)/(1-(I10/100))),IF(G10&gt;0,((E10+F10)-(E10*G10))/(1-(I10/100)))))))</f>
        <v/>
      </c>
      <c r="I10" s="9" t="n"/>
      <c r="J10" s="9" t="n"/>
      <c r="K10" s="8">
        <f>H10*I10%</f>
        <v/>
      </c>
      <c r="L10" s="8">
        <f>E10*J10%</f>
        <v/>
      </c>
      <c r="M10" s="8">
        <f>IF(G10="",0,IF(G10="S",H10*((I10-J10)%),IF(G10="N",K10-L10,IF(G10&gt;0,H10*((I10-J10)%)))))</f>
        <v/>
      </c>
      <c r="N10" s="8" t="n"/>
      <c r="O10" s="8">
        <f>M10-N10</f>
        <v/>
      </c>
    </row>
    <row r="11" ht="18" customHeight="1">
      <c r="A11" s="6" t="n"/>
      <c r="B11" s="7" t="n"/>
      <c r="C11" s="7" t="n"/>
      <c r="D11" s="6" t="n"/>
      <c r="E11" s="8" t="n"/>
      <c r="F11" s="8" t="n"/>
      <c r="G11" s="6" t="n"/>
      <c r="H11" s="8">
        <f>IF(G11="",0,(IF(G11="N",((E11+F11)-(E11*J11%))/(1-(I11/100)),IF(G11="S",((E11+F11)/(1-(I11/100))),IF(G11&gt;0,((E11+F11)-(E11*G11))/(1-(I11/100)))))))</f>
        <v/>
      </c>
      <c r="I11" s="9" t="n"/>
      <c r="J11" s="9" t="n"/>
      <c r="K11" s="8">
        <f>H11*I11%</f>
        <v/>
      </c>
      <c r="L11" s="8">
        <f>E11*J11%</f>
        <v/>
      </c>
      <c r="M11" s="8">
        <f>IF(G11="",0,IF(G11="S",H11*((I11-J11)%),IF(G11="N",K11-L11,IF(G11&gt;0,H11*((I11-J11)%)))))</f>
        <v/>
      </c>
      <c r="N11" s="8" t="n"/>
      <c r="O11" s="8">
        <f>M11-N11</f>
        <v/>
      </c>
    </row>
    <row r="12" ht="18" customHeight="1">
      <c r="A12" s="6" t="n"/>
      <c r="B12" s="7" t="n"/>
      <c r="C12" s="7" t="n"/>
      <c r="D12" s="6" t="n"/>
      <c r="E12" s="8" t="n"/>
      <c r="F12" s="8" t="n"/>
      <c r="G12" s="6" t="n"/>
      <c r="H12" s="8">
        <f>IF(G12="",0,(IF(G12="N",((E12+F12)-(E12*J12%))/(1-(I12/100)),IF(G12="S",((E12+F12)/(1-(I12/100))),IF(G12&gt;0,((E12+F12)-(E12*G12))/(1-(I12/100)))))))</f>
        <v/>
      </c>
      <c r="I12" s="9" t="n"/>
      <c r="J12" s="9" t="n"/>
      <c r="K12" s="8">
        <f>H12*I12%</f>
        <v/>
      </c>
      <c r="L12" s="8">
        <f>E12*J12%</f>
        <v/>
      </c>
      <c r="M12" s="8">
        <f>IF(G12="",0,IF(G12="S",H12*((I12-J12)%),IF(G12="N",K12-L12,IF(G12&gt;0,H12*((I12-J12)%)))))</f>
        <v/>
      </c>
      <c r="N12" s="8" t="n"/>
      <c r="O12" s="8">
        <f>M12-N12</f>
        <v/>
      </c>
    </row>
    <row r="13" ht="18" customHeight="1">
      <c r="A13" s="6" t="n"/>
      <c r="B13" s="7" t="n"/>
      <c r="C13" s="7" t="n"/>
      <c r="D13" s="6" t="n"/>
      <c r="E13" s="8" t="n"/>
      <c r="F13" s="8" t="n"/>
      <c r="G13" s="6" t="n"/>
      <c r="H13" s="8">
        <f>IF(G13="",0,(IF(G13="N",((E13+F13)-(E13*J13%))/(1-(I13/100)),IF(G13="S",((E13+F13)/(1-(I13/100))),IF(G13&gt;0,((E13+F13)-(E13*G13))/(1-(I13/100)))))))</f>
        <v/>
      </c>
      <c r="I13" s="9" t="n"/>
      <c r="J13" s="9" t="n"/>
      <c r="K13" s="8">
        <f>H13*I13%</f>
        <v/>
      </c>
      <c r="L13" s="8">
        <f>E13*J13%</f>
        <v/>
      </c>
      <c r="M13" s="8">
        <f>IF(G13="",0,IF(G13="S",H13*((I13-J13)%),IF(G13="N",K13-L13,IF(G13&gt;0,H13*((I13-J13)%)))))</f>
        <v/>
      </c>
      <c r="N13" s="8" t="n"/>
      <c r="O13" s="8">
        <f>M13-N13</f>
        <v/>
      </c>
    </row>
    <row r="14" ht="18" customHeight="1">
      <c r="A14" s="6" t="n"/>
      <c r="B14" s="7" t="n"/>
      <c r="C14" s="7" t="n"/>
      <c r="D14" s="6" t="n"/>
      <c r="E14" s="8" t="n"/>
      <c r="F14" s="8" t="n"/>
      <c r="G14" s="6" t="n"/>
      <c r="H14" s="8">
        <f>IF(G14="",0,(IF(G14="N",((E14+F14)-(E14*J14%))/(1-(I14/100)),IF(G14="S",((E14+F14)/(1-(I14/100))),IF(G14&gt;0,((E14+F14)-(E14*G14))/(1-(I14/100)))))))</f>
        <v/>
      </c>
      <c r="I14" s="9" t="n"/>
      <c r="J14" s="9" t="n"/>
      <c r="K14" s="8">
        <f>H14*I14%</f>
        <v/>
      </c>
      <c r="L14" s="8">
        <f>E14*J14%</f>
        <v/>
      </c>
      <c r="M14" s="8">
        <f>IF(G14="",0,IF(G14="S",H14*((I14-J14)%),IF(G14="N",K14-L14,IF(G14&gt;0,H14*((I14-J14)%)))))</f>
        <v/>
      </c>
      <c r="N14" s="8" t="n"/>
      <c r="O14" s="8">
        <f>M14-N14</f>
        <v/>
      </c>
    </row>
    <row r="15" ht="18" customHeight="1">
      <c r="A15" s="6" t="n"/>
      <c r="B15" s="7" t="n"/>
      <c r="C15" s="7" t="n"/>
      <c r="D15" s="6" t="n"/>
      <c r="E15" s="8" t="n"/>
      <c r="F15" s="8" t="n"/>
      <c r="G15" s="6" t="n"/>
      <c r="H15" s="8">
        <f>IF(G15="",0,(IF(G15="N",((E15+F15)-(E15*J15%))/(1-(I15/100)),IF(G15="S",((E15+F15)/(1-(I15/100))),IF(G15&gt;0,((E15+F15)-(E15*G15))/(1-(I15/100)))))))</f>
        <v/>
      </c>
      <c r="I15" s="9" t="n"/>
      <c r="J15" s="9" t="n"/>
      <c r="K15" s="8">
        <f>H15*I15%</f>
        <v/>
      </c>
      <c r="L15" s="8">
        <f>E15*J15%</f>
        <v/>
      </c>
      <c r="M15" s="8">
        <f>IF(G15="",0,IF(G15="S",H15*((I15-J15)%),IF(G15="N",K15-L15,IF(G15&gt;0,H15*((I15-J15)%)))))</f>
        <v/>
      </c>
      <c r="N15" s="8" t="n"/>
      <c r="O15" s="8">
        <f>M15-N15</f>
        <v/>
      </c>
    </row>
    <row r="16" ht="18" customHeight="1">
      <c r="A16" s="6" t="n"/>
      <c r="B16" s="7" t="n"/>
      <c r="C16" s="7" t="n"/>
      <c r="D16" s="6" t="n"/>
      <c r="E16" s="8" t="n"/>
      <c r="F16" s="8" t="n"/>
      <c r="G16" s="6" t="n"/>
      <c r="H16" s="8">
        <f>IF(G16="",0,(IF(G16="N",((E16+F16)-(E16*J16%))/(1-(I16/100)),IF(G16="S",((E16+F16)/(1-(I16/100))),IF(G16&gt;0,((E16+F16)-(E16*G16))/(1-(I16/100)))))))</f>
        <v/>
      </c>
      <c r="I16" s="9" t="n"/>
      <c r="J16" s="9" t="n"/>
      <c r="K16" s="8">
        <f>H16*I16%</f>
        <v/>
      </c>
      <c r="L16" s="8">
        <f>E16*J16%</f>
        <v/>
      </c>
      <c r="M16" s="8">
        <f>IF(G16="",0,IF(G16="S",H16*((I16-J16)%),IF(G16="N",K16-L16,IF(G16&gt;0,H16*((I16-J16)%)))))</f>
        <v/>
      </c>
      <c r="N16" s="8" t="n"/>
      <c r="O16" s="8">
        <f>M16-N16</f>
        <v/>
      </c>
    </row>
    <row r="17" ht="18" customHeight="1">
      <c r="A17" s="6" t="n"/>
      <c r="B17" s="7" t="n"/>
      <c r="C17" s="7" t="n"/>
      <c r="D17" s="6" t="n"/>
      <c r="E17" s="8" t="n"/>
      <c r="F17" s="8" t="n"/>
      <c r="G17" s="6" t="n"/>
      <c r="H17" s="8">
        <f>IF(G17="",0,(IF(G17="N",((E17+F17)-(E17*J17%))/(1-(I17/100)),IF(G17="S",((E17+F17)/(1-(I17/100))),IF(G17&gt;0,((E17+F17)-(E17*G17))/(1-(I17/100)))))))</f>
        <v/>
      </c>
      <c r="I17" s="9" t="n"/>
      <c r="J17" s="9" t="n"/>
      <c r="K17" s="8">
        <f>H17*I17%</f>
        <v/>
      </c>
      <c r="L17" s="8">
        <f>E17*J17%</f>
        <v/>
      </c>
      <c r="M17" s="8">
        <f>IF(G17="",0,IF(G17="S",H17*((I17-J17)%),IF(G17="N",K17-L17,IF(G17&gt;0,H17*((I17-J17)%)))))</f>
        <v/>
      </c>
      <c r="N17" s="8" t="n"/>
      <c r="O17" s="8">
        <f>M17-N17</f>
        <v/>
      </c>
    </row>
    <row r="18" ht="18" customHeight="1">
      <c r="A18" s="6" t="n"/>
      <c r="B18" s="7" t="n"/>
      <c r="C18" s="7" t="n"/>
      <c r="D18" s="6" t="n"/>
      <c r="E18" s="8" t="n"/>
      <c r="F18" s="8" t="n"/>
      <c r="G18" s="6" t="n"/>
      <c r="H18" s="8">
        <f>IF(G18="",0,(IF(G18="N",((E18+F18)-(E18*J18%))/(1-(I18/100)),IF(G18="S",((E18+F18)/(1-(I18/100))),IF(G18&gt;0,((E18+F18)-(E18*G18))/(1-(I18/100)))))))</f>
        <v/>
      </c>
      <c r="I18" s="9" t="n"/>
      <c r="J18" s="9" t="n"/>
      <c r="K18" s="8">
        <f>H18*I18%</f>
        <v/>
      </c>
      <c r="L18" s="8">
        <f>E18*J18%</f>
        <v/>
      </c>
      <c r="M18" s="8">
        <f>IF(G18="",0,IF(G18="S",H18*((I18-J18)%),IF(G18="N",K18-L18,IF(G18&gt;0,H18*((I18-J18)%)))))</f>
        <v/>
      </c>
      <c r="N18" s="8" t="n"/>
      <c r="O18" s="8">
        <f>M18-N18</f>
        <v/>
      </c>
    </row>
    <row r="19" ht="18" customHeight="1">
      <c r="A19" s="6" t="n"/>
      <c r="B19" s="7" t="n"/>
      <c r="C19" s="7" t="n"/>
      <c r="D19" s="6" t="n"/>
      <c r="E19" s="8" t="n"/>
      <c r="F19" s="8" t="n"/>
      <c r="G19" s="6" t="n"/>
      <c r="H19" s="8">
        <f>IF(G19="",0,(IF(G19="N",((E19+F19)-(E19*J19%))/(1-(I19/100)),IF(G19="S",((E19+F19)/(1-(I19/100))),IF(G19&gt;0,((E19+F19)-(E19*G19))/(1-(I19/100)))))))</f>
        <v/>
      </c>
      <c r="I19" s="9" t="n"/>
      <c r="J19" s="9" t="n"/>
      <c r="K19" s="8">
        <f>H19*I19%</f>
        <v/>
      </c>
      <c r="L19" s="8">
        <f>E19*J19%</f>
        <v/>
      </c>
      <c r="M19" s="8">
        <f>IF(G19="",0,IF(G19="S",H19*((I19-J19)%),IF(G19="N",K19-L19,IF(G19&gt;0,H19*((I19-J19)%)))))</f>
        <v/>
      </c>
      <c r="N19" s="8" t="n"/>
      <c r="O19" s="8">
        <f>M19-N19</f>
        <v/>
      </c>
    </row>
    <row r="20" ht="18" customHeight="1">
      <c r="A20" s="6" t="n"/>
      <c r="B20" s="7" t="n"/>
      <c r="C20" s="7" t="n"/>
      <c r="D20" s="6" t="n"/>
      <c r="E20" s="8" t="n"/>
      <c r="F20" s="8" t="n"/>
      <c r="G20" s="6" t="n"/>
      <c r="H20" s="8">
        <f>IF(G20="",0,(IF(G20="N",((E20+F20)-(E20*J20%))/(1-(I20/100)),IF(G20="S",((E20+F20)/(1-(I20/100))),IF(G20&gt;0,((E20+F20)-(E20*G20))/(1-(I20/100)))))))</f>
        <v/>
      </c>
      <c r="I20" s="9" t="n"/>
      <c r="J20" s="9" t="n"/>
      <c r="K20" s="8">
        <f>H20*I20%</f>
        <v/>
      </c>
      <c r="L20" s="8">
        <f>E20*J20%</f>
        <v/>
      </c>
      <c r="M20" s="8">
        <f>IF(G20="",0,IF(G20="S",H20*((I20-J20)%),IF(G20="N",K20-L20,IF(G20&gt;0,H20*((I20-J20)%)))))</f>
        <v/>
      </c>
      <c r="N20" s="8" t="n"/>
      <c r="O20" s="8">
        <f>M20-N20</f>
        <v/>
      </c>
    </row>
    <row r="21" ht="18" customHeight="1">
      <c r="A21" s="6" t="n"/>
      <c r="B21" s="7" t="n"/>
      <c r="C21" s="7" t="n"/>
      <c r="D21" s="6" t="n"/>
      <c r="E21" s="8" t="n"/>
      <c r="F21" s="8" t="n"/>
      <c r="G21" s="6" t="n"/>
      <c r="H21" s="8">
        <f>IF(G21="",0,(IF(G21="N",((E21+F21)-(E21*J21%))/(1-(I21/100)),IF(G21="S",((E21+F21)/(1-(I21/100))),IF(G21&gt;0,((E21+F21)-(E21*G21))/(1-(I21/100)))))))</f>
        <v/>
      </c>
      <c r="I21" s="9" t="n"/>
      <c r="J21" s="9" t="n"/>
      <c r="K21" s="8">
        <f>H21*I21%</f>
        <v/>
      </c>
      <c r="L21" s="8">
        <f>E21*J21%</f>
        <v/>
      </c>
      <c r="M21" s="8">
        <f>IF(G21="",0,IF(G21="S",H21*((I21-J21)%),IF(G21="N",K21-L21,IF(G21&gt;0,H21*((I21-J21)%)))))</f>
        <v/>
      </c>
      <c r="N21" s="8" t="n"/>
      <c r="O21" s="8">
        <f>M21-N21</f>
        <v/>
      </c>
    </row>
    <row r="22" ht="18" customHeight="1">
      <c r="A22" s="6" t="n"/>
      <c r="B22" s="7" t="n"/>
      <c r="C22" s="7" t="n"/>
      <c r="D22" s="6" t="n"/>
      <c r="E22" s="8" t="n"/>
      <c r="F22" s="8" t="n"/>
      <c r="G22" s="6" t="n"/>
      <c r="H22" s="8">
        <f>IF(G22="",0,(IF(G22="N",((E22+F22)-(E22*J22%))/(1-(I22/100)),IF(G22="S",((E22+F22)/(1-(I22/100))),IF(G22&gt;0,((E22+F22)-(E22*G22))/(1-(I22/100)))))))</f>
        <v/>
      </c>
      <c r="I22" s="9" t="n"/>
      <c r="J22" s="9" t="n"/>
      <c r="K22" s="8">
        <f>H22*I22%</f>
        <v/>
      </c>
      <c r="L22" s="8">
        <f>E22*J22%</f>
        <v/>
      </c>
      <c r="M22" s="8">
        <f>IF(G22="",0,IF(G22="S",H22*((I22-J22)%),IF(G22="N",K22-L22,IF(G22&gt;0,H22*((I22-J22)%)))))</f>
        <v/>
      </c>
      <c r="N22" s="8" t="n"/>
      <c r="O22" s="8">
        <f>M22-N22</f>
        <v/>
      </c>
    </row>
    <row r="23" ht="18" customHeight="1">
      <c r="A23" s="6" t="n"/>
      <c r="B23" s="7" t="n"/>
      <c r="C23" s="7" t="n"/>
      <c r="D23" s="6" t="n"/>
      <c r="E23" s="8" t="n"/>
      <c r="F23" s="8" t="n"/>
      <c r="G23" s="6" t="n"/>
      <c r="H23" s="8">
        <f>IF(G23="",0,(IF(G23="N",((E23+F23)-(E23*J23%))/(1-(I23/100)),IF(G23="S",((E23+F23)/(1-(I23/100))),IF(G23&gt;0,((E23+F23)-(E23*G23))/(1-(I23/100)))))))</f>
        <v/>
      </c>
      <c r="I23" s="9" t="n"/>
      <c r="J23" s="9" t="n"/>
      <c r="K23" s="8">
        <f>H23*I23%</f>
        <v/>
      </c>
      <c r="L23" s="8">
        <f>E23*J23%</f>
        <v/>
      </c>
      <c r="M23" s="8">
        <f>IF(G23="",0,IF(G23="S",H23*((I23-J23)%),IF(G23="N",K23-L23,IF(G23&gt;0,H23*((I23-J23)%)))))</f>
        <v/>
      </c>
      <c r="N23" s="8" t="n"/>
      <c r="O23" s="8">
        <f>M23-N23</f>
        <v/>
      </c>
    </row>
    <row r="24" ht="18" customHeight="1">
      <c r="A24" s="6" t="n"/>
      <c r="B24" s="7" t="n"/>
      <c r="C24" s="7" t="n"/>
      <c r="D24" s="6" t="n"/>
      <c r="E24" s="8" t="n"/>
      <c r="F24" s="8" t="n"/>
      <c r="G24" s="6" t="n"/>
      <c r="H24" s="8">
        <f>IF(G24="",0,(IF(G24="N",((E24+F24)-(E24*J24%))/(1-(I24/100)),IF(G24="S",((E24+F24)/(1-(I24/100))),IF(G24&gt;0,((E24+F24)-(E24*G24))/(1-(I24/100)))))))</f>
        <v/>
      </c>
      <c r="I24" s="9" t="n"/>
      <c r="J24" s="9" t="n"/>
      <c r="K24" s="8">
        <f>H24*I24%</f>
        <v/>
      </c>
      <c r="L24" s="8">
        <f>E24*J24%</f>
        <v/>
      </c>
      <c r="M24" s="8">
        <f>IF(G24="",0,IF(G24="S",H24*((I24-J24)%),IF(G24="N",K24-L24,IF(G24&gt;0,H24*((I24-J24)%)))))</f>
        <v/>
      </c>
      <c r="N24" s="8" t="n"/>
      <c r="O24" s="8">
        <f>M24-N24</f>
        <v/>
      </c>
    </row>
    <row r="25" ht="18" customHeight="1">
      <c r="A25" s="6" t="n"/>
      <c r="B25" s="7" t="n"/>
      <c r="C25" s="7" t="n"/>
      <c r="D25" s="6" t="n"/>
      <c r="E25" s="8" t="n"/>
      <c r="F25" s="8" t="n"/>
      <c r="G25" s="6" t="n"/>
      <c r="H25" s="8">
        <f>IF(G25="",0,(IF(G25="N",((E25+F25)-(E25*J25%))/(1-(I25/100)),IF(G25="S",((E25+F25)/(1-(I25/100))),IF(G25&gt;0,((E25+F25)-(E25*G25))/(1-(I25/100)))))))</f>
        <v/>
      </c>
      <c r="I25" s="9" t="n"/>
      <c r="J25" s="9" t="n"/>
      <c r="K25" s="8">
        <f>H25*I25%</f>
        <v/>
      </c>
      <c r="L25" s="8">
        <f>E25*J25%</f>
        <v/>
      </c>
      <c r="M25" s="8">
        <f>IF(G25="",0,IF(G25="S",H25*((I25-J25)%),IF(G25="N",K25-L25,IF(G25&gt;0,H25*((I25-J25)%)))))</f>
        <v/>
      </c>
      <c r="N25" s="8" t="n"/>
      <c r="O25" s="8">
        <f>M25-N25</f>
        <v/>
      </c>
    </row>
    <row r="26" ht="18" customHeight="1">
      <c r="A26" s="6" t="n"/>
      <c r="B26" s="7" t="n"/>
      <c r="C26" s="7" t="n"/>
      <c r="D26" s="6" t="n"/>
      <c r="E26" s="8" t="n"/>
      <c r="F26" s="8" t="n"/>
      <c r="G26" s="6" t="n"/>
      <c r="H26" s="8">
        <f>IF(G26="",0,(IF(G26="N",((E26+F26)-(E26*J26%))/(1-(I26/100)),IF(G26="S",((E26+F26)/(1-(I26/100))),IF(G26&gt;0,((E26+F26)-(E26*G26))/(1-(I26/100)))))))</f>
        <v/>
      </c>
      <c r="I26" s="9" t="n"/>
      <c r="J26" s="9" t="n"/>
      <c r="K26" s="8">
        <f>H26*I26%</f>
        <v/>
      </c>
      <c r="L26" s="8">
        <f>E26*J26%</f>
        <v/>
      </c>
      <c r="M26" s="8">
        <f>IF(G26="",0,IF(G26="S",H26*((I26-J26)%),IF(G26="N",K26-L26,IF(G26&gt;0,H26*((I26-J26)%)))))</f>
        <v/>
      </c>
      <c r="N26" s="8" t="n"/>
      <c r="O26" s="8">
        <f>M26-N26</f>
        <v/>
      </c>
    </row>
    <row r="27" ht="18" customHeight="1">
      <c r="A27" s="6" t="n"/>
      <c r="B27" s="7" t="n"/>
      <c r="C27" s="7" t="n"/>
      <c r="D27" s="6" t="n"/>
      <c r="E27" s="8" t="n"/>
      <c r="F27" s="8" t="n"/>
      <c r="G27" s="6" t="n"/>
      <c r="H27" s="8">
        <f>IF(G27="",0,(IF(G27="N",((E27+F27)-(E27*J27%))/(1-(I27/100)),IF(G27="S",((E27+F27)/(1-(I27/100))),IF(G27&gt;0,((E27+F27)-(E27*G27))/(1-(I27/100)))))))</f>
        <v/>
      </c>
      <c r="I27" s="9" t="n"/>
      <c r="J27" s="9" t="n"/>
      <c r="K27" s="8">
        <f>H27*I27%</f>
        <v/>
      </c>
      <c r="L27" s="8">
        <f>E27*J27%</f>
        <v/>
      </c>
      <c r="M27" s="8">
        <f>IF(G27="",0,IF(G27="S",H27*((I27-J27)%),IF(G27="N",K27-L27,IF(G27&gt;0,H27*((I27-J27)%)))))</f>
        <v/>
      </c>
      <c r="N27" s="8" t="n"/>
      <c r="O27" s="8">
        <f>M27-N27</f>
        <v/>
      </c>
    </row>
    <row r="28" ht="18" customHeight="1">
      <c r="A28" s="6" t="n"/>
      <c r="B28" s="7" t="n"/>
      <c r="C28" s="7" t="n"/>
      <c r="D28" s="6" t="n"/>
      <c r="E28" s="8" t="n"/>
      <c r="F28" s="8" t="n"/>
      <c r="G28" s="6" t="n"/>
      <c r="H28" s="8">
        <f>IF(G28="",0,(IF(G28="N",((E28+F28)-(E28*J28%))/(1-(I28/100)),IF(G28="S",((E28+F28)/(1-(I28/100))),IF(G28&gt;0,((E28+F28)-(E28*G28))/(1-(I28/100)))))))</f>
        <v/>
      </c>
      <c r="I28" s="9" t="n"/>
      <c r="J28" s="9" t="n"/>
      <c r="K28" s="8">
        <f>H28*I28%</f>
        <v/>
      </c>
      <c r="L28" s="8">
        <f>E28*J28%</f>
        <v/>
      </c>
      <c r="M28" s="8">
        <f>IF(G28="",0,IF(G28="S",H28*((I28-J28)%),IF(G28="N",K28-L28,IF(G28&gt;0,H28*((I28-J28)%)))))</f>
        <v/>
      </c>
      <c r="N28" s="8" t="n"/>
      <c r="O28" s="8">
        <f>M28-N28</f>
        <v/>
      </c>
    </row>
    <row r="29" ht="18" customHeight="1">
      <c r="A29" s="6" t="n"/>
      <c r="B29" s="7" t="n"/>
      <c r="C29" s="7" t="n"/>
      <c r="D29" s="6" t="n"/>
      <c r="E29" s="8" t="n"/>
      <c r="F29" s="8" t="n"/>
      <c r="G29" s="6" t="n"/>
      <c r="H29" s="8">
        <f>IF(G29="",0,(IF(G29="N",((E29+F29)-(E29*J29%))/(1-(I29/100)),IF(G29="S",((E29+F29)/(1-(I29/100))),IF(G29&gt;0,((E29+F29)-(E29*G29))/(1-(I29/100)))))))</f>
        <v/>
      </c>
      <c r="I29" s="9" t="n"/>
      <c r="J29" s="9" t="n"/>
      <c r="K29" s="8">
        <f>H29*I29%</f>
        <v/>
      </c>
      <c r="L29" s="8">
        <f>E29*J29%</f>
        <v/>
      </c>
      <c r="M29" s="8">
        <f>IF(G29="",0,IF(G29="S",H29*((I29-J29)%),IF(G29="N",K29-L29,IF(G29&gt;0,H29*((I29-J29)%)))))</f>
        <v/>
      </c>
      <c r="N29" s="8" t="n"/>
      <c r="O29" s="8">
        <f>M29-N29</f>
        <v/>
      </c>
    </row>
    <row r="30" ht="18" customHeight="1">
      <c r="A30" s="6" t="n"/>
      <c r="B30" s="7" t="n"/>
      <c r="C30" s="7" t="n"/>
      <c r="D30" s="6" t="n"/>
      <c r="E30" s="8" t="n"/>
      <c r="F30" s="8" t="n"/>
      <c r="G30" s="6" t="n"/>
      <c r="H30" s="8">
        <f>IF(G30="",0,(IF(G30="N",((E30+F30)-(E30*J30%))/(1-(I30/100)),IF(G30="S",((E30+F30)/(1-(I30/100))),IF(G30&gt;0,((E30+F30)-(E30*G30))/(1-(I30/100)))))))</f>
        <v/>
      </c>
      <c r="I30" s="9" t="n"/>
      <c r="J30" s="9" t="n"/>
      <c r="K30" s="8">
        <f>H30*I30%</f>
        <v/>
      </c>
      <c r="L30" s="8">
        <f>E30*J30%</f>
        <v/>
      </c>
      <c r="M30" s="8">
        <f>IF(G30="",0,IF(G30="S",H30*((I30-J30)%),IF(G30="N",K30-L30,IF(G30&gt;0,H30*((I30-J30)%)))))</f>
        <v/>
      </c>
      <c r="N30" s="8" t="n"/>
      <c r="O30" s="8">
        <f>M30-N30</f>
        <v/>
      </c>
    </row>
    <row r="31" ht="18" customHeight="1">
      <c r="A31" s="6" t="n"/>
      <c r="B31" s="7" t="n"/>
      <c r="C31" s="7" t="n"/>
      <c r="D31" s="6" t="n"/>
      <c r="E31" s="8" t="n"/>
      <c r="F31" s="8" t="n"/>
      <c r="G31" s="6" t="n"/>
      <c r="H31" s="8">
        <f>IF(G31="",0,(IF(G31="N",((E31+F31)-(E31*J31%))/(1-(I31/100)),IF(G31="S",((E31+F31)/(1-(I31/100))),IF(G31&gt;0,((E31+F31)-(E31*G31))/(1-(I31/100)))))))</f>
        <v/>
      </c>
      <c r="I31" s="9" t="n"/>
      <c r="J31" s="9" t="n"/>
      <c r="K31" s="8">
        <f>H31*I31%</f>
        <v/>
      </c>
      <c r="L31" s="8">
        <f>E31*J31%</f>
        <v/>
      </c>
      <c r="M31" s="8">
        <f>IF(G31="",0,IF(G31="S",H31*((I31-J31)%),IF(G31="N",K31-L31,IF(G31&gt;0,H31*((I31-J31)%)))))</f>
        <v/>
      </c>
      <c r="N31" s="8" t="n"/>
      <c r="O31" s="8">
        <f>M31-N31</f>
        <v/>
      </c>
    </row>
    <row r="32" ht="18" customHeight="1">
      <c r="A32" s="6" t="n"/>
      <c r="B32" s="7" t="n"/>
      <c r="C32" s="7" t="n"/>
      <c r="D32" s="6" t="n"/>
      <c r="E32" s="8" t="n"/>
      <c r="F32" s="8" t="n"/>
      <c r="G32" s="6" t="n"/>
      <c r="H32" s="8">
        <f>IF(G32="",0,(IF(G32="N",((E32+F32)-(E32*J32%))/(1-(I32/100)),IF(G32="S",((E32+F32)/(1-(I32/100))),IF(G32&gt;0,((E32+F32)-(E32*G32))/(1-(I32/100)))))))</f>
        <v/>
      </c>
      <c r="I32" s="9" t="n"/>
      <c r="J32" s="9" t="n"/>
      <c r="K32" s="8">
        <f>H32*I32%</f>
        <v/>
      </c>
      <c r="L32" s="8">
        <f>E32*J32%</f>
        <v/>
      </c>
      <c r="M32" s="8">
        <f>IF(G32="",0,IF(G32="S",H32*((I32-J32)%),IF(G32="N",K32-L32,IF(G32&gt;0,H32*((I32-J32)%)))))</f>
        <v/>
      </c>
      <c r="N32" s="8" t="n"/>
      <c r="O32" s="8">
        <f>M32-N32</f>
        <v/>
      </c>
    </row>
    <row r="33" ht="18" customHeight="1">
      <c r="A33" s="6" t="n"/>
      <c r="B33" s="7" t="n"/>
      <c r="C33" s="7" t="n"/>
      <c r="D33" s="6" t="n"/>
      <c r="E33" s="8" t="n"/>
      <c r="F33" s="8" t="n"/>
      <c r="G33" s="6" t="n"/>
      <c r="H33" s="8">
        <f>IF(G33="",0,(IF(G33="N",((E33+F33)-(E33*J33%))/(1-(I33/100)),IF(G33="S",((E33+F33)/(1-(I33/100))),IF(G33&gt;0,((E33+F33)-(E33*G33))/(1-(I33/100)))))))</f>
        <v/>
      </c>
      <c r="I33" s="9" t="n"/>
      <c r="J33" s="9" t="n"/>
      <c r="K33" s="8">
        <f>H33*I33%</f>
        <v/>
      </c>
      <c r="L33" s="8">
        <f>E33*J33%</f>
        <v/>
      </c>
      <c r="M33" s="8">
        <f>IF(G33="",0,IF(G33="S",H33*((I33-J33)%),IF(G33="N",K33-L33,IF(G33&gt;0,H33*((I33-J33)%)))))</f>
        <v/>
      </c>
      <c r="N33" s="8" t="n"/>
      <c r="O33" s="8">
        <f>M33-N33</f>
        <v/>
      </c>
    </row>
    <row r="34" ht="18" customHeight="1">
      <c r="A34" s="6" t="n"/>
      <c r="B34" s="7" t="n"/>
      <c r="C34" s="7" t="n"/>
      <c r="D34" s="6" t="n"/>
      <c r="E34" s="8" t="n"/>
      <c r="F34" s="8" t="n"/>
      <c r="G34" s="6" t="n"/>
      <c r="H34" s="8">
        <f>IF(G34="",0,(IF(G34="N",((E34+F34)-(E34*J34%))/(1-(I34/100)),IF(G34="S",((E34+F34)/(1-(I34/100))),IF(G34&gt;0,((E34+F34)-(E34*G34))/(1-(I34/100)))))))</f>
        <v/>
      </c>
      <c r="I34" s="9" t="n"/>
      <c r="J34" s="9" t="n"/>
      <c r="K34" s="8">
        <f>H34*I34%</f>
        <v/>
      </c>
      <c r="L34" s="8">
        <f>E34*J34%</f>
        <v/>
      </c>
      <c r="M34" s="8">
        <f>IF(G34="",0,IF(G34="S",H34*((I34-J34)%),IF(G34="N",K34-L34,IF(G34&gt;0,H34*((I34-J34)%)))))</f>
        <v/>
      </c>
      <c r="N34" s="8" t="n"/>
      <c r="O34" s="8">
        <f>M34-N34</f>
        <v/>
      </c>
    </row>
    <row r="35" ht="18" customHeight="1">
      <c r="A35" s="6" t="n"/>
      <c r="B35" s="7" t="n"/>
      <c r="C35" s="7" t="n"/>
      <c r="D35" s="6" t="n"/>
      <c r="E35" s="8" t="n"/>
      <c r="F35" s="8" t="n"/>
      <c r="G35" s="6" t="n"/>
      <c r="H35" s="8">
        <f>IF(G35="",0,(IF(G35="N",((E35+F35)-(E35*J35%))/(1-(I35/100)),IF(G35="S",((E35+F35)/(1-(I35/100))),IF(G35&gt;0,((E35+F35)-(E35*G35))/(1-(I35/100)))))))</f>
        <v/>
      </c>
      <c r="I35" s="9" t="n"/>
      <c r="J35" s="9" t="n"/>
      <c r="K35" s="8">
        <f>H35*I35%</f>
        <v/>
      </c>
      <c r="L35" s="8">
        <f>E35*J35%</f>
        <v/>
      </c>
      <c r="M35" s="8">
        <f>IF(G35="",0,IF(G35="S",H35*((I35-J35)%),IF(G35="N",K35-L35,IF(G35&gt;0,H35*((I35-J35)%)))))</f>
        <v/>
      </c>
      <c r="N35" s="8" t="n"/>
      <c r="O35" s="8">
        <f>M35-N35</f>
        <v/>
      </c>
    </row>
    <row r="36" ht="18" customHeight="1">
      <c r="A36" s="6" t="n"/>
      <c r="B36" s="7" t="n"/>
      <c r="C36" s="7" t="n"/>
      <c r="D36" s="6" t="n"/>
      <c r="E36" s="8" t="n"/>
      <c r="F36" s="8" t="n"/>
      <c r="G36" s="6" t="n"/>
      <c r="H36" s="8">
        <f>IF(G36="",0,(IF(G36="N",((E36+F36)-(E36*J36%))/(1-(I36/100)),IF(G36="S",((E36+F36)/(1-(I36/100))),IF(G36&gt;0,((E36+F36)-(E36*G36))/(1-(I36/100)))))))</f>
        <v/>
      </c>
      <c r="I36" s="9" t="n"/>
      <c r="J36" s="9" t="n"/>
      <c r="K36" s="8">
        <f>H36*I36%</f>
        <v/>
      </c>
      <c r="L36" s="8">
        <f>E36*J36%</f>
        <v/>
      </c>
      <c r="M36" s="8">
        <f>IF(G36="",0,IF(G36="S",H36*((I36-J36)%),IF(G36="N",K36-L36,IF(G36&gt;0,H36*((I36-J36)%)))))</f>
        <v/>
      </c>
      <c r="N36" s="8" t="n"/>
      <c r="O36" s="8">
        <f>M36-N36</f>
        <v/>
      </c>
    </row>
    <row r="37" ht="18" customHeight="1">
      <c r="A37" s="6" t="n"/>
      <c r="B37" s="7" t="n"/>
      <c r="C37" s="7" t="n"/>
      <c r="D37" s="6" t="n"/>
      <c r="E37" s="8" t="n"/>
      <c r="F37" s="8" t="n"/>
      <c r="G37" s="6" t="n"/>
      <c r="H37" s="8">
        <f>IF(G37="",0,(IF(G37="N",((E37+F37)-(E37*J37%))/(1-(I37/100)),IF(G37="S",((E37+F37)/(1-(I37/100))),IF(G37&gt;0,((E37+F37)-(E37*G37))/(1-(I37/100)))))))</f>
        <v/>
      </c>
      <c r="I37" s="9" t="n"/>
      <c r="J37" s="9" t="n"/>
      <c r="K37" s="8">
        <f>H37*I37%</f>
        <v/>
      </c>
      <c r="L37" s="8">
        <f>E37*J37%</f>
        <v/>
      </c>
      <c r="M37" s="8">
        <f>IF(G37="",0,IF(G37="S",H37*((I37-J37)%),IF(G37="N",K37-L37,IF(G37&gt;0,H37*((I37-J37)%)))))</f>
        <v/>
      </c>
      <c r="N37" s="8" t="n"/>
      <c r="O37" s="8">
        <f>M37-N37</f>
        <v/>
      </c>
    </row>
    <row r="38" ht="18" customHeight="1">
      <c r="A38" s="6" t="n"/>
      <c r="B38" s="7" t="n"/>
      <c r="C38" s="7" t="n"/>
      <c r="D38" s="6" t="n"/>
      <c r="E38" s="8" t="n"/>
      <c r="F38" s="8" t="n"/>
      <c r="G38" s="6" t="n"/>
      <c r="H38" s="8">
        <f>IF(G38="",0,(IF(G38="N",((E38+F38)-(E38*J38%))/(1-(I38/100)),IF(G38="S",((E38+F38)/(1-(I38/100))),IF(G38&gt;0,((E38+F38)-(E38*G38))/(1-(I38/100)))))))</f>
        <v/>
      </c>
      <c r="I38" s="9" t="n"/>
      <c r="J38" s="9" t="n"/>
      <c r="K38" s="8">
        <f>H38*I38%</f>
        <v/>
      </c>
      <c r="L38" s="8">
        <f>E38*J38%</f>
        <v/>
      </c>
      <c r="M38" s="8">
        <f>IF(G38="",0,IF(G38="S",H38*((I38-J38)%),IF(G38="N",K38-L38,IF(G38&gt;0,H38*((I38-J38)%)))))</f>
        <v/>
      </c>
      <c r="N38" s="8" t="n"/>
      <c r="O38" s="8">
        <f>M38-N38</f>
        <v/>
      </c>
    </row>
    <row r="39" ht="20" customHeight="1">
      <c r="A39" s="10" t="n"/>
      <c r="B39" s="10" t="n"/>
      <c r="C39" s="10" t="n"/>
      <c r="D39" s="11" t="inlineStr">
        <is>
          <t>TOTAL</t>
        </is>
      </c>
      <c r="E39" s="12">
        <f>SUM(E4:E38)</f>
        <v/>
      </c>
      <c r="F39" s="12">
        <f>SUM(F4:F38)</f>
        <v/>
      </c>
      <c r="G39" s="10" t="n"/>
      <c r="H39" s="12">
        <f>SUM(H4:H38)</f>
        <v/>
      </c>
      <c r="I39" s="10" t="n"/>
      <c r="J39" s="10" t="n"/>
      <c r="K39" s="12">
        <f>SUM(K4:K38)</f>
        <v/>
      </c>
      <c r="L39" s="12">
        <f>SUM(L4:L38)</f>
        <v/>
      </c>
      <c r="M39" s="12">
        <f>SUM(M4:M38)</f>
        <v/>
      </c>
      <c r="N39" s="12">
        <f>SUM(N4:N38)</f>
        <v/>
      </c>
      <c r="O39" s="12">
        <f>SUM(O4:O38)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cols>
    <col width="4.5" customWidth="1" min="1" max="1"/>
    <col width="13" customWidth="1" min="2" max="2"/>
    <col width="14" customWidth="1" min="3" max="3"/>
    <col width="12" customWidth="1" min="4" max="4"/>
    <col width="15" customWidth="1" min="5" max="5"/>
    <col width="14" customWidth="1" min="6" max="6"/>
    <col width="14" customWidth="1" min="7" max="7"/>
    <col width="15" customWidth="1" min="8" max="8"/>
    <col width="10" customWidth="1" min="9" max="9"/>
    <col width="10" customWidth="1" min="10" max="10"/>
    <col width="15" customWidth="1" min="11" max="11"/>
    <col width="14" customWidth="1" min="12" max="12"/>
    <col width="16" customWidth="1" min="13" max="13"/>
    <col width="14" customWidth="1" min="14" max="14"/>
    <col width="16" customWidth="1" min="15" max="15"/>
  </cols>
  <sheetData>
    <row r="1" ht="24" customHeight="1">
      <c r="E1" s="1" t="inlineStr">
        <is>
          <t>CÁLCULO DIFERENCIAL DE ALÍQUOTA</t>
        </is>
      </c>
      <c r="N1" s="2" t="inlineStr">
        <is>
          <t>Código: RP-158                        Revisão: 00</t>
        </is>
      </c>
    </row>
    <row r="2" ht="20" customHeight="1">
      <c r="A2" s="3" t="inlineStr">
        <is>
          <t>Empresa:                                                                  I.E.:                                 Comp: 06/2026</t>
        </is>
      </c>
    </row>
    <row r="3" ht="28" customHeight="1">
      <c r="A3" s="4" t="inlineStr"/>
      <c r="B3" s="4" t="inlineStr">
        <is>
          <t>DATA ENTRADA</t>
        </is>
      </c>
      <c r="C3" s="4" t="inlineStr">
        <is>
          <t>DATA EMISSÃO</t>
        </is>
      </c>
      <c r="D3" s="4" t="inlineStr">
        <is>
          <t>N.  FISCAL</t>
        </is>
      </c>
      <c r="E3" s="5" t="inlineStr">
        <is>
          <t xml:space="preserve">   V. CONTÁBIL</t>
        </is>
      </c>
      <c r="F3" s="5" t="inlineStr">
        <is>
          <t xml:space="preserve"> IPI + DESP</t>
        </is>
      </c>
      <c r="G3" s="4" t="inlineStr">
        <is>
          <t>ALIQ. SIMPLES</t>
        </is>
      </c>
      <c r="H3" s="5" t="inlineStr">
        <is>
          <t>B.CÁLCULO</t>
        </is>
      </c>
      <c r="I3" s="5" t="inlineStr">
        <is>
          <t xml:space="preserve">  A. DST</t>
        </is>
      </c>
      <c r="J3" s="5" t="inlineStr">
        <is>
          <t xml:space="preserve">  A.ORI</t>
        </is>
      </c>
      <c r="K3" s="5" t="inlineStr">
        <is>
          <t>DÉBITO</t>
        </is>
      </c>
      <c r="L3" s="5" t="inlineStr">
        <is>
          <t>CRÉDITO</t>
        </is>
      </c>
      <c r="M3" s="5" t="inlineStr">
        <is>
          <t>VR.DEVIDO</t>
        </is>
      </c>
      <c r="N3" s="5" t="inlineStr">
        <is>
          <t>VR. PAGO</t>
        </is>
      </c>
      <c r="O3" s="5" t="inlineStr">
        <is>
          <t>DIFER.</t>
        </is>
      </c>
    </row>
    <row r="4" ht="18" customHeight="1">
      <c r="A4" s="6" t="n"/>
      <c r="B4" s="7" t="n"/>
      <c r="C4" s="7" t="n"/>
      <c r="D4" s="6" t="n"/>
      <c r="E4" s="8" t="n"/>
      <c r="F4" s="8" t="n"/>
      <c r="G4" s="6" t="n"/>
      <c r="H4" s="8">
        <f>IF(G4="",0,(IF(G4="N",((E4+F4)-(E4*J4%))/(1-(I4/100)),IF(G4="S",((E4+F4)/(1-(I4/100))),IF(G4&gt;0,((E4+F4)-(E4*G4))/(1-(I4/100)))))))</f>
        <v/>
      </c>
      <c r="I4" s="9" t="n"/>
      <c r="J4" s="9" t="n"/>
      <c r="K4" s="8">
        <f>H4*I4%</f>
        <v/>
      </c>
      <c r="L4" s="8">
        <f>E4*J4%</f>
        <v/>
      </c>
      <c r="M4" s="8">
        <f>IF(G4="",0,IF(G4="S",H4*((I4-J4)%),IF(G4="N",K4-L4,IF(G4&gt;0,H4*((I4-J4)%)))))</f>
        <v/>
      </c>
      <c r="N4" s="8" t="n"/>
      <c r="O4" s="8">
        <f>M4-N4</f>
        <v/>
      </c>
    </row>
    <row r="5" ht="18" customHeight="1">
      <c r="A5" s="6" t="n"/>
      <c r="B5" s="7" t="n"/>
      <c r="C5" s="7" t="n"/>
      <c r="D5" s="6" t="n"/>
      <c r="E5" s="8" t="n"/>
      <c r="F5" s="8" t="n"/>
      <c r="G5" s="6" t="n"/>
      <c r="H5" s="8">
        <f>IF(G5="",0,(IF(G5="N",((E5+F5)-(E5*J5%))/(1-(I5/100)),IF(G5="S",((E5+F5)/(1-(I5/100))),IF(G5&gt;0,((E5+F5)-(E5*G5))/(1-(I5/100)))))))</f>
        <v/>
      </c>
      <c r="I5" s="9" t="n"/>
      <c r="J5" s="9" t="n"/>
      <c r="K5" s="8">
        <f>H5*I5%</f>
        <v/>
      </c>
      <c r="L5" s="8">
        <f>E5*J5%</f>
        <v/>
      </c>
      <c r="M5" s="8">
        <f>IF(G5="",0,IF(G5="S",H5*((I5-J5)%),IF(G5="N",K5-L5,IF(G5&gt;0,H5*((I5-J5)%)))))</f>
        <v/>
      </c>
      <c r="N5" s="8" t="n"/>
      <c r="O5" s="8">
        <f>M5-N5</f>
        <v/>
      </c>
    </row>
    <row r="6" ht="18" customHeight="1">
      <c r="A6" s="6" t="n"/>
      <c r="B6" s="7" t="n"/>
      <c r="C6" s="7" t="n"/>
      <c r="D6" s="6" t="n"/>
      <c r="E6" s="8" t="n"/>
      <c r="F6" s="8" t="n"/>
      <c r="G6" s="6" t="n"/>
      <c r="H6" s="8">
        <f>IF(G6="",0,(IF(G6="N",((E6+F6)-(E6*J6%))/(1-(I6/100)),IF(G6="S",((E6+F6)/(1-(I6/100))),IF(G6&gt;0,((E6+F6)-(E6*G6))/(1-(I6/100)))))))</f>
        <v/>
      </c>
      <c r="I6" s="9" t="n"/>
      <c r="J6" s="9" t="n"/>
      <c r="K6" s="8">
        <f>H6*I6%</f>
        <v/>
      </c>
      <c r="L6" s="8">
        <f>E6*J6%</f>
        <v/>
      </c>
      <c r="M6" s="8">
        <f>IF(G6="",0,IF(G6="S",H6*((I6-J6)%),IF(G6="N",K6-L6,IF(G6&gt;0,H6*((I6-J6)%)))))</f>
        <v/>
      </c>
      <c r="N6" s="8" t="n"/>
      <c r="O6" s="8">
        <f>M6-N6</f>
        <v/>
      </c>
    </row>
    <row r="7" ht="18" customHeight="1">
      <c r="A7" s="6" t="n"/>
      <c r="B7" s="7" t="n"/>
      <c r="C7" s="7" t="n"/>
      <c r="D7" s="6" t="n"/>
      <c r="E7" s="8" t="n"/>
      <c r="F7" s="8" t="n"/>
      <c r="G7" s="6" t="n"/>
      <c r="H7" s="8">
        <f>IF(G7="",0,(IF(G7="N",((E7+F7)-(E7*J7%))/(1-(I7/100)),IF(G7="S",((E7+F7)/(1-(I7/100))),IF(G7&gt;0,((E7+F7)-(E7*G7))/(1-(I7/100)))))))</f>
        <v/>
      </c>
      <c r="I7" s="9" t="n"/>
      <c r="J7" s="9" t="n"/>
      <c r="K7" s="8">
        <f>H7*I7%</f>
        <v/>
      </c>
      <c r="L7" s="8">
        <f>E7*J7%</f>
        <v/>
      </c>
      <c r="M7" s="8">
        <f>IF(G7="",0,IF(G7="S",H7*((I7-J7)%),IF(G7="N",K7-L7,IF(G7&gt;0,H7*((I7-J7)%)))))</f>
        <v/>
      </c>
      <c r="N7" s="8" t="n"/>
      <c r="O7" s="8">
        <f>M7-N7</f>
        <v/>
      </c>
    </row>
    <row r="8" ht="18" customHeight="1">
      <c r="A8" s="6" t="n"/>
      <c r="B8" s="7" t="n"/>
      <c r="C8" s="7" t="n"/>
      <c r="D8" s="6" t="n"/>
      <c r="E8" s="8" t="n"/>
      <c r="F8" s="8" t="n"/>
      <c r="G8" s="6" t="n"/>
      <c r="H8" s="8">
        <f>IF(G8="",0,(IF(G8="N",((E8+F8)-(E8*J8%))/(1-(I8/100)),IF(G8="S",((E8+F8)/(1-(I8/100))),IF(G8&gt;0,((E8+F8)-(E8*G8))/(1-(I8/100)))))))</f>
        <v/>
      </c>
      <c r="I8" s="9" t="n"/>
      <c r="J8" s="9" t="n"/>
      <c r="K8" s="8">
        <f>H8*I8%</f>
        <v/>
      </c>
      <c r="L8" s="8">
        <f>E8*J8%</f>
        <v/>
      </c>
      <c r="M8" s="8">
        <f>IF(G8="",0,IF(G8="S",H8*((I8-J8)%),IF(G8="N",K8-L8,IF(G8&gt;0,H8*((I8-J8)%)))))</f>
        <v/>
      </c>
      <c r="N8" s="8" t="n"/>
      <c r="O8" s="8">
        <f>M8-N8</f>
        <v/>
      </c>
    </row>
    <row r="9" ht="18" customHeight="1">
      <c r="A9" s="6" t="n"/>
      <c r="B9" s="7" t="n"/>
      <c r="C9" s="7" t="n"/>
      <c r="D9" s="6" t="n"/>
      <c r="E9" s="8" t="n"/>
      <c r="F9" s="8" t="n"/>
      <c r="G9" s="6" t="n"/>
      <c r="H9" s="8">
        <f>IF(G9="",0,(IF(G9="N",((E9+F9)-(E9*J9%))/(1-(I9/100)),IF(G9="S",((E9+F9)/(1-(I9/100))),IF(G9&gt;0,((E9+F9)-(E9*G9))/(1-(I9/100)))))))</f>
        <v/>
      </c>
      <c r="I9" s="9" t="n"/>
      <c r="J9" s="9" t="n"/>
      <c r="K9" s="8">
        <f>H9*I9%</f>
        <v/>
      </c>
      <c r="L9" s="8">
        <f>E9*J9%</f>
        <v/>
      </c>
      <c r="M9" s="8">
        <f>IF(G9="",0,IF(G9="S",H9*((I9-J9)%),IF(G9="N",K9-L9,IF(G9&gt;0,H9*((I9-J9)%)))))</f>
        <v/>
      </c>
      <c r="N9" s="8" t="n"/>
      <c r="O9" s="8">
        <f>M9-N9</f>
        <v/>
      </c>
    </row>
    <row r="10" ht="18" customHeight="1">
      <c r="A10" s="6" t="n"/>
      <c r="B10" s="7" t="n"/>
      <c r="C10" s="7" t="n"/>
      <c r="D10" s="6" t="n"/>
      <c r="E10" s="8" t="n"/>
      <c r="F10" s="8" t="n"/>
      <c r="G10" s="6" t="n"/>
      <c r="H10" s="8">
        <f>IF(G10="",0,(IF(G10="N",((E10+F10)-(E10*J10%))/(1-(I10/100)),IF(G10="S",((E10+F10)/(1-(I10/100))),IF(G10&gt;0,((E10+F10)-(E10*G10))/(1-(I10/100)))))))</f>
        <v/>
      </c>
      <c r="I10" s="9" t="n"/>
      <c r="J10" s="9" t="n"/>
      <c r="K10" s="8">
        <f>H10*I10%</f>
        <v/>
      </c>
      <c r="L10" s="8">
        <f>E10*J10%</f>
        <v/>
      </c>
      <c r="M10" s="8">
        <f>IF(G10="",0,IF(G10="S",H10*((I10-J10)%),IF(G10="N",K10-L10,IF(G10&gt;0,H10*((I10-J10)%)))))</f>
        <v/>
      </c>
      <c r="N10" s="8" t="n"/>
      <c r="O10" s="8">
        <f>M10-N10</f>
        <v/>
      </c>
    </row>
    <row r="11" ht="18" customHeight="1">
      <c r="A11" s="6" t="n"/>
      <c r="B11" s="7" t="n"/>
      <c r="C11" s="7" t="n"/>
      <c r="D11" s="6" t="n"/>
      <c r="E11" s="8" t="n"/>
      <c r="F11" s="8" t="n"/>
      <c r="G11" s="6" t="n"/>
      <c r="H11" s="8">
        <f>IF(G11="",0,(IF(G11="N",((E11+F11)-(E11*J11%))/(1-(I11/100)),IF(G11="S",((E11+F11)/(1-(I11/100))),IF(G11&gt;0,((E11+F11)-(E11*G11))/(1-(I11/100)))))))</f>
        <v/>
      </c>
      <c r="I11" s="9" t="n"/>
      <c r="J11" s="9" t="n"/>
      <c r="K11" s="8">
        <f>H11*I11%</f>
        <v/>
      </c>
      <c r="L11" s="8">
        <f>E11*J11%</f>
        <v/>
      </c>
      <c r="M11" s="8">
        <f>IF(G11="",0,IF(G11="S",H11*((I11-J11)%),IF(G11="N",K11-L11,IF(G11&gt;0,H11*((I11-J11)%)))))</f>
        <v/>
      </c>
      <c r="N11" s="8" t="n"/>
      <c r="O11" s="8">
        <f>M11-N11</f>
        <v/>
      </c>
    </row>
    <row r="12" ht="18" customHeight="1">
      <c r="A12" s="6" t="n"/>
      <c r="B12" s="7" t="n"/>
      <c r="C12" s="7" t="n"/>
      <c r="D12" s="6" t="n"/>
      <c r="E12" s="8" t="n"/>
      <c r="F12" s="8" t="n"/>
      <c r="G12" s="6" t="n"/>
      <c r="H12" s="8">
        <f>IF(G12="",0,(IF(G12="N",((E12+F12)-(E12*J12%))/(1-(I12/100)),IF(G12="S",((E12+F12)/(1-(I12/100))),IF(G12&gt;0,((E12+F12)-(E12*G12))/(1-(I12/100)))))))</f>
        <v/>
      </c>
      <c r="I12" s="9" t="n"/>
      <c r="J12" s="9" t="n"/>
      <c r="K12" s="8">
        <f>H12*I12%</f>
        <v/>
      </c>
      <c r="L12" s="8">
        <f>E12*J12%</f>
        <v/>
      </c>
      <c r="M12" s="8">
        <f>IF(G12="",0,IF(G12="S",H12*((I12-J12)%),IF(G12="N",K12-L12,IF(G12&gt;0,H12*((I12-J12)%)))))</f>
        <v/>
      </c>
      <c r="N12" s="8" t="n"/>
      <c r="O12" s="8">
        <f>M12-N12</f>
        <v/>
      </c>
    </row>
    <row r="13" ht="18" customHeight="1">
      <c r="A13" s="6" t="n"/>
      <c r="B13" s="7" t="n"/>
      <c r="C13" s="7" t="n"/>
      <c r="D13" s="6" t="n"/>
      <c r="E13" s="8" t="n"/>
      <c r="F13" s="8" t="n"/>
      <c r="G13" s="6" t="n"/>
      <c r="H13" s="8">
        <f>IF(G13="",0,(IF(G13="N",((E13+F13)-(E13*J13%))/(1-(I13/100)),IF(G13="S",((E13+F13)/(1-(I13/100))),IF(G13&gt;0,((E13+F13)-(E13*G13))/(1-(I13/100)))))))</f>
        <v/>
      </c>
      <c r="I13" s="9" t="n"/>
      <c r="J13" s="9" t="n"/>
      <c r="K13" s="8">
        <f>H13*I13%</f>
        <v/>
      </c>
      <c r="L13" s="8">
        <f>E13*J13%</f>
        <v/>
      </c>
      <c r="M13" s="8">
        <f>IF(G13="",0,IF(G13="S",H13*((I13-J13)%),IF(G13="N",K13-L13,IF(G13&gt;0,H13*((I13-J13)%)))))</f>
        <v/>
      </c>
      <c r="N13" s="8" t="n"/>
      <c r="O13" s="8">
        <f>M13-N13</f>
        <v/>
      </c>
    </row>
    <row r="14" ht="18" customHeight="1">
      <c r="A14" s="6" t="n"/>
      <c r="B14" s="7" t="n"/>
      <c r="C14" s="7" t="n"/>
      <c r="D14" s="6" t="n"/>
      <c r="E14" s="8" t="n"/>
      <c r="F14" s="8" t="n"/>
      <c r="G14" s="6" t="n"/>
      <c r="H14" s="8">
        <f>IF(G14="",0,(IF(G14="N",((E14+F14)-(E14*J14%))/(1-(I14/100)),IF(G14="S",((E14+F14)/(1-(I14/100))),IF(G14&gt;0,((E14+F14)-(E14*G14))/(1-(I14/100)))))))</f>
        <v/>
      </c>
      <c r="I14" s="9" t="n"/>
      <c r="J14" s="9" t="n"/>
      <c r="K14" s="8">
        <f>H14*I14%</f>
        <v/>
      </c>
      <c r="L14" s="8">
        <f>E14*J14%</f>
        <v/>
      </c>
      <c r="M14" s="8">
        <f>IF(G14="",0,IF(G14="S",H14*((I14-J14)%),IF(G14="N",K14-L14,IF(G14&gt;0,H14*((I14-J14)%)))))</f>
        <v/>
      </c>
      <c r="N14" s="8" t="n"/>
      <c r="O14" s="8">
        <f>M14-N14</f>
        <v/>
      </c>
    </row>
    <row r="15" ht="18" customHeight="1">
      <c r="A15" s="6" t="n"/>
      <c r="B15" s="7" t="n"/>
      <c r="C15" s="7" t="n"/>
      <c r="D15" s="6" t="n"/>
      <c r="E15" s="8" t="n"/>
      <c r="F15" s="8" t="n"/>
      <c r="G15" s="6" t="n"/>
      <c r="H15" s="8">
        <f>IF(G15="",0,(IF(G15="N",((E15+F15)-(E15*J15%))/(1-(I15/100)),IF(G15="S",((E15+F15)/(1-(I15/100))),IF(G15&gt;0,((E15+F15)-(E15*G15))/(1-(I15/100)))))))</f>
        <v/>
      </c>
      <c r="I15" s="9" t="n"/>
      <c r="J15" s="9" t="n"/>
      <c r="K15" s="8">
        <f>H15*I15%</f>
        <v/>
      </c>
      <c r="L15" s="8">
        <f>E15*J15%</f>
        <v/>
      </c>
      <c r="M15" s="8">
        <f>IF(G15="",0,IF(G15="S",H15*((I15-J15)%),IF(G15="N",K15-L15,IF(G15&gt;0,H15*((I15-J15)%)))))</f>
        <v/>
      </c>
      <c r="N15" s="8" t="n"/>
      <c r="O15" s="8">
        <f>M15-N15</f>
        <v/>
      </c>
    </row>
    <row r="16" ht="18" customHeight="1">
      <c r="A16" s="6" t="n"/>
      <c r="B16" s="7" t="n"/>
      <c r="C16" s="7" t="n"/>
      <c r="D16" s="6" t="n"/>
      <c r="E16" s="8" t="n"/>
      <c r="F16" s="8" t="n"/>
      <c r="G16" s="6" t="n"/>
      <c r="H16" s="8">
        <f>IF(G16="",0,(IF(G16="N",((E16+F16)-(E16*J16%))/(1-(I16/100)),IF(G16="S",((E16+F16)/(1-(I16/100))),IF(G16&gt;0,((E16+F16)-(E16*G16))/(1-(I16/100)))))))</f>
        <v/>
      </c>
      <c r="I16" s="9" t="n"/>
      <c r="J16" s="9" t="n"/>
      <c r="K16" s="8">
        <f>H16*I16%</f>
        <v/>
      </c>
      <c r="L16" s="8">
        <f>E16*J16%</f>
        <v/>
      </c>
      <c r="M16" s="8">
        <f>IF(G16="",0,IF(G16="S",H16*((I16-J16)%),IF(G16="N",K16-L16,IF(G16&gt;0,H16*((I16-J16)%)))))</f>
        <v/>
      </c>
      <c r="N16" s="8" t="n"/>
      <c r="O16" s="8">
        <f>M16-N16</f>
        <v/>
      </c>
    </row>
    <row r="17" ht="18" customHeight="1">
      <c r="A17" s="6" t="n"/>
      <c r="B17" s="7" t="n"/>
      <c r="C17" s="7" t="n"/>
      <c r="D17" s="6" t="n"/>
      <c r="E17" s="8" t="n"/>
      <c r="F17" s="8" t="n"/>
      <c r="G17" s="6" t="n"/>
      <c r="H17" s="8">
        <f>IF(G17="",0,(IF(G17="N",((E17+F17)-(E17*J17%))/(1-(I17/100)),IF(G17="S",((E17+F17)/(1-(I17/100))),IF(G17&gt;0,((E17+F17)-(E17*G17))/(1-(I17/100)))))))</f>
        <v/>
      </c>
      <c r="I17" s="9" t="n"/>
      <c r="J17" s="9" t="n"/>
      <c r="K17" s="8">
        <f>H17*I17%</f>
        <v/>
      </c>
      <c r="L17" s="8">
        <f>E17*J17%</f>
        <v/>
      </c>
      <c r="M17" s="8">
        <f>IF(G17="",0,IF(G17="S",H17*((I17-J17)%),IF(G17="N",K17-L17,IF(G17&gt;0,H17*((I17-J17)%)))))</f>
        <v/>
      </c>
      <c r="N17" s="8" t="n"/>
      <c r="O17" s="8">
        <f>M17-N17</f>
        <v/>
      </c>
    </row>
    <row r="18" ht="18" customHeight="1">
      <c r="A18" s="6" t="n"/>
      <c r="B18" s="7" t="n"/>
      <c r="C18" s="7" t="n"/>
      <c r="D18" s="6" t="n"/>
      <c r="E18" s="8" t="n"/>
      <c r="F18" s="8" t="n"/>
      <c r="G18" s="6" t="n"/>
      <c r="H18" s="8">
        <f>IF(G18="",0,(IF(G18="N",((E18+F18)-(E18*J18%))/(1-(I18/100)),IF(G18="S",((E18+F18)/(1-(I18/100))),IF(G18&gt;0,((E18+F18)-(E18*G18))/(1-(I18/100)))))))</f>
        <v/>
      </c>
      <c r="I18" s="9" t="n"/>
      <c r="J18" s="9" t="n"/>
      <c r="K18" s="8">
        <f>H18*I18%</f>
        <v/>
      </c>
      <c r="L18" s="8">
        <f>E18*J18%</f>
        <v/>
      </c>
      <c r="M18" s="8">
        <f>IF(G18="",0,IF(G18="S",H18*((I18-J18)%),IF(G18="N",K18-L18,IF(G18&gt;0,H18*((I18-J18)%)))))</f>
        <v/>
      </c>
      <c r="N18" s="8" t="n"/>
      <c r="O18" s="8">
        <f>M18-N18</f>
        <v/>
      </c>
    </row>
    <row r="19" ht="18" customHeight="1">
      <c r="A19" s="6" t="n"/>
      <c r="B19" s="7" t="n"/>
      <c r="C19" s="7" t="n"/>
      <c r="D19" s="6" t="n"/>
      <c r="E19" s="8" t="n"/>
      <c r="F19" s="8" t="n"/>
      <c r="G19" s="6" t="n"/>
      <c r="H19" s="8">
        <f>IF(G19="",0,(IF(G19="N",((E19+F19)-(E19*J19%))/(1-(I19/100)),IF(G19="S",((E19+F19)/(1-(I19/100))),IF(G19&gt;0,((E19+F19)-(E19*G19))/(1-(I19/100)))))))</f>
        <v/>
      </c>
      <c r="I19" s="9" t="n"/>
      <c r="J19" s="9" t="n"/>
      <c r="K19" s="8">
        <f>H19*I19%</f>
        <v/>
      </c>
      <c r="L19" s="8">
        <f>E19*J19%</f>
        <v/>
      </c>
      <c r="M19" s="8">
        <f>IF(G19="",0,IF(G19="S",H19*((I19-J19)%),IF(G19="N",K19-L19,IF(G19&gt;0,H19*((I19-J19)%)))))</f>
        <v/>
      </c>
      <c r="N19" s="8" t="n"/>
      <c r="O19" s="8">
        <f>M19-N19</f>
        <v/>
      </c>
    </row>
    <row r="20" ht="18" customHeight="1">
      <c r="A20" s="6" t="n"/>
      <c r="B20" s="7" t="n"/>
      <c r="C20" s="7" t="n"/>
      <c r="D20" s="6" t="n"/>
      <c r="E20" s="8" t="n"/>
      <c r="F20" s="8" t="n"/>
      <c r="G20" s="6" t="n"/>
      <c r="H20" s="8">
        <f>IF(G20="",0,(IF(G20="N",((E20+F20)-(E20*J20%))/(1-(I20/100)),IF(G20="S",((E20+F20)/(1-(I20/100))),IF(G20&gt;0,((E20+F20)-(E20*G20))/(1-(I20/100)))))))</f>
        <v/>
      </c>
      <c r="I20" s="9" t="n"/>
      <c r="J20" s="9" t="n"/>
      <c r="K20" s="8">
        <f>H20*I20%</f>
        <v/>
      </c>
      <c r="L20" s="8">
        <f>E20*J20%</f>
        <v/>
      </c>
      <c r="M20" s="8">
        <f>IF(G20="",0,IF(G20="S",H20*((I20-J20)%),IF(G20="N",K20-L20,IF(G20&gt;0,H20*((I20-J20)%)))))</f>
        <v/>
      </c>
      <c r="N20" s="8" t="n"/>
      <c r="O20" s="8">
        <f>M20-N20</f>
        <v/>
      </c>
    </row>
    <row r="21" ht="18" customHeight="1">
      <c r="A21" s="6" t="n"/>
      <c r="B21" s="7" t="n"/>
      <c r="C21" s="7" t="n"/>
      <c r="D21" s="6" t="n"/>
      <c r="E21" s="8" t="n"/>
      <c r="F21" s="8" t="n"/>
      <c r="G21" s="6" t="n"/>
      <c r="H21" s="8">
        <f>IF(G21="",0,(IF(G21="N",((E21+F21)-(E21*J21%))/(1-(I21/100)),IF(G21="S",((E21+F21)/(1-(I21/100))),IF(G21&gt;0,((E21+F21)-(E21*G21))/(1-(I21/100)))))))</f>
        <v/>
      </c>
      <c r="I21" s="9" t="n"/>
      <c r="J21" s="9" t="n"/>
      <c r="K21" s="8">
        <f>H21*I21%</f>
        <v/>
      </c>
      <c r="L21" s="8">
        <f>E21*J21%</f>
        <v/>
      </c>
      <c r="M21" s="8">
        <f>IF(G21="",0,IF(G21="S",H21*((I21-J21)%),IF(G21="N",K21-L21,IF(G21&gt;0,H21*((I21-J21)%)))))</f>
        <v/>
      </c>
      <c r="N21" s="8" t="n"/>
      <c r="O21" s="8">
        <f>M21-N21</f>
        <v/>
      </c>
    </row>
    <row r="22" ht="18" customHeight="1">
      <c r="A22" s="6" t="n"/>
      <c r="B22" s="7" t="n"/>
      <c r="C22" s="7" t="n"/>
      <c r="D22" s="6" t="n"/>
      <c r="E22" s="8" t="n"/>
      <c r="F22" s="8" t="n"/>
      <c r="G22" s="6" t="n"/>
      <c r="H22" s="8">
        <f>IF(G22="",0,(IF(G22="N",((E22+F22)-(E22*J22%))/(1-(I22/100)),IF(G22="S",((E22+F22)/(1-(I22/100))),IF(G22&gt;0,((E22+F22)-(E22*G22))/(1-(I22/100)))))))</f>
        <v/>
      </c>
      <c r="I22" s="9" t="n"/>
      <c r="J22" s="9" t="n"/>
      <c r="K22" s="8">
        <f>H22*I22%</f>
        <v/>
      </c>
      <c r="L22" s="8">
        <f>E22*J22%</f>
        <v/>
      </c>
      <c r="M22" s="8">
        <f>IF(G22="",0,IF(G22="S",H22*((I22-J22)%),IF(G22="N",K22-L22,IF(G22&gt;0,H22*((I22-J22)%)))))</f>
        <v/>
      </c>
      <c r="N22" s="8" t="n"/>
      <c r="O22" s="8">
        <f>M22-N22</f>
        <v/>
      </c>
    </row>
    <row r="23" ht="18" customHeight="1">
      <c r="A23" s="6" t="n"/>
      <c r="B23" s="7" t="n"/>
      <c r="C23" s="7" t="n"/>
      <c r="D23" s="6" t="n"/>
      <c r="E23" s="8" t="n"/>
      <c r="F23" s="8" t="n"/>
      <c r="G23" s="6" t="n"/>
      <c r="H23" s="8">
        <f>IF(G23="",0,(IF(G23="N",((E23+F23)-(E23*J23%))/(1-(I23/100)),IF(G23="S",((E23+F23)/(1-(I23/100))),IF(G23&gt;0,((E23+F23)-(E23*G23))/(1-(I23/100)))))))</f>
        <v/>
      </c>
      <c r="I23" s="9" t="n"/>
      <c r="J23" s="9" t="n"/>
      <c r="K23" s="8">
        <f>H23*I23%</f>
        <v/>
      </c>
      <c r="L23" s="8">
        <f>E23*J23%</f>
        <v/>
      </c>
      <c r="M23" s="8">
        <f>IF(G23="",0,IF(G23="S",H23*((I23-J23)%),IF(G23="N",K23-L23,IF(G23&gt;0,H23*((I23-J23)%)))))</f>
        <v/>
      </c>
      <c r="N23" s="8" t="n"/>
      <c r="O23" s="8">
        <f>M23-N23</f>
        <v/>
      </c>
    </row>
    <row r="24" ht="18" customHeight="1">
      <c r="A24" s="6" t="n"/>
      <c r="B24" s="7" t="n"/>
      <c r="C24" s="7" t="n"/>
      <c r="D24" s="6" t="n"/>
      <c r="E24" s="8" t="n"/>
      <c r="F24" s="8" t="n"/>
      <c r="G24" s="6" t="n"/>
      <c r="H24" s="8">
        <f>IF(G24="",0,(IF(G24="N",((E24+F24)-(E24*J24%))/(1-(I24/100)),IF(G24="S",((E24+F24)/(1-(I24/100))),IF(G24&gt;0,((E24+F24)-(E24*G24))/(1-(I24/100)))))))</f>
        <v/>
      </c>
      <c r="I24" s="9" t="n"/>
      <c r="J24" s="9" t="n"/>
      <c r="K24" s="8">
        <f>H24*I24%</f>
        <v/>
      </c>
      <c r="L24" s="8">
        <f>E24*J24%</f>
        <v/>
      </c>
      <c r="M24" s="8">
        <f>IF(G24="",0,IF(G24="S",H24*((I24-J24)%),IF(G24="N",K24-L24,IF(G24&gt;0,H24*((I24-J24)%)))))</f>
        <v/>
      </c>
      <c r="N24" s="8" t="n"/>
      <c r="O24" s="8">
        <f>M24-N24</f>
        <v/>
      </c>
    </row>
    <row r="25" ht="18" customHeight="1">
      <c r="A25" s="6" t="n"/>
      <c r="B25" s="7" t="n"/>
      <c r="C25" s="7" t="n"/>
      <c r="D25" s="6" t="n"/>
      <c r="E25" s="8" t="n"/>
      <c r="F25" s="8" t="n"/>
      <c r="G25" s="6" t="n"/>
      <c r="H25" s="8">
        <f>IF(G25="",0,(IF(G25="N",((E25+F25)-(E25*J25%))/(1-(I25/100)),IF(G25="S",((E25+F25)/(1-(I25/100))),IF(G25&gt;0,((E25+F25)-(E25*G25))/(1-(I25/100)))))))</f>
        <v/>
      </c>
      <c r="I25" s="9" t="n"/>
      <c r="J25" s="9" t="n"/>
      <c r="K25" s="8">
        <f>H25*I25%</f>
        <v/>
      </c>
      <c r="L25" s="8">
        <f>E25*J25%</f>
        <v/>
      </c>
      <c r="M25" s="8">
        <f>IF(G25="",0,IF(G25="S",H25*((I25-J25)%),IF(G25="N",K25-L25,IF(G25&gt;0,H25*((I25-J25)%)))))</f>
        <v/>
      </c>
      <c r="N25" s="8" t="n"/>
      <c r="O25" s="8">
        <f>M25-N25</f>
        <v/>
      </c>
    </row>
    <row r="26" ht="18" customHeight="1">
      <c r="A26" s="6" t="n"/>
      <c r="B26" s="7" t="n"/>
      <c r="C26" s="7" t="n"/>
      <c r="D26" s="6" t="n"/>
      <c r="E26" s="8" t="n"/>
      <c r="F26" s="8" t="n"/>
      <c r="G26" s="6" t="n"/>
      <c r="H26" s="8">
        <f>IF(G26="",0,(IF(G26="N",((E26+F26)-(E26*J26%))/(1-(I26/100)),IF(G26="S",((E26+F26)/(1-(I26/100))),IF(G26&gt;0,((E26+F26)-(E26*G26))/(1-(I26/100)))))))</f>
        <v/>
      </c>
      <c r="I26" s="9" t="n"/>
      <c r="J26" s="9" t="n"/>
      <c r="K26" s="8">
        <f>H26*I26%</f>
        <v/>
      </c>
      <c r="L26" s="8">
        <f>E26*J26%</f>
        <v/>
      </c>
      <c r="M26" s="8">
        <f>IF(G26="",0,IF(G26="S",H26*((I26-J26)%),IF(G26="N",K26-L26,IF(G26&gt;0,H26*((I26-J26)%)))))</f>
        <v/>
      </c>
      <c r="N26" s="8" t="n"/>
      <c r="O26" s="8">
        <f>M26-N26</f>
        <v/>
      </c>
    </row>
    <row r="27" ht="18" customHeight="1">
      <c r="A27" s="6" t="n"/>
      <c r="B27" s="7" t="n"/>
      <c r="C27" s="7" t="n"/>
      <c r="D27" s="6" t="n"/>
      <c r="E27" s="8" t="n"/>
      <c r="F27" s="8" t="n"/>
      <c r="G27" s="6" t="n"/>
      <c r="H27" s="8">
        <f>IF(G27="",0,(IF(G27="N",((E27+F27)-(E27*J27%))/(1-(I27/100)),IF(G27="S",((E27+F27)/(1-(I27/100))),IF(G27&gt;0,((E27+F27)-(E27*G27))/(1-(I27/100)))))))</f>
        <v/>
      </c>
      <c r="I27" s="9" t="n"/>
      <c r="J27" s="9" t="n"/>
      <c r="K27" s="8">
        <f>H27*I27%</f>
        <v/>
      </c>
      <c r="L27" s="8">
        <f>E27*J27%</f>
        <v/>
      </c>
      <c r="M27" s="8">
        <f>IF(G27="",0,IF(G27="S",H27*((I27-J27)%),IF(G27="N",K27-L27,IF(G27&gt;0,H27*((I27-J27)%)))))</f>
        <v/>
      </c>
      <c r="N27" s="8" t="n"/>
      <c r="O27" s="8">
        <f>M27-N27</f>
        <v/>
      </c>
    </row>
    <row r="28" ht="18" customHeight="1">
      <c r="A28" s="6" t="n"/>
      <c r="B28" s="7" t="n"/>
      <c r="C28" s="7" t="n"/>
      <c r="D28" s="6" t="n"/>
      <c r="E28" s="8" t="n"/>
      <c r="F28" s="8" t="n"/>
      <c r="G28" s="6" t="n"/>
      <c r="H28" s="8">
        <f>IF(G28="",0,(IF(G28="N",((E28+F28)-(E28*J28%))/(1-(I28/100)),IF(G28="S",((E28+F28)/(1-(I28/100))),IF(G28&gt;0,((E28+F28)-(E28*G28))/(1-(I28/100)))))))</f>
        <v/>
      </c>
      <c r="I28" s="9" t="n"/>
      <c r="J28" s="9" t="n"/>
      <c r="K28" s="8">
        <f>H28*I28%</f>
        <v/>
      </c>
      <c r="L28" s="8">
        <f>E28*J28%</f>
        <v/>
      </c>
      <c r="M28" s="8">
        <f>IF(G28="",0,IF(G28="S",H28*((I28-J28)%),IF(G28="N",K28-L28,IF(G28&gt;0,H28*((I28-J28)%)))))</f>
        <v/>
      </c>
      <c r="N28" s="8" t="n"/>
      <c r="O28" s="8">
        <f>M28-N28</f>
        <v/>
      </c>
    </row>
    <row r="29" ht="18" customHeight="1">
      <c r="A29" s="6" t="n"/>
      <c r="B29" s="7" t="n"/>
      <c r="C29" s="7" t="n"/>
      <c r="D29" s="6" t="n"/>
      <c r="E29" s="8" t="n"/>
      <c r="F29" s="8" t="n"/>
      <c r="G29" s="6" t="n"/>
      <c r="H29" s="8">
        <f>IF(G29="",0,(IF(G29="N",((E29+F29)-(E29*J29%))/(1-(I29/100)),IF(G29="S",((E29+F29)/(1-(I29/100))),IF(G29&gt;0,((E29+F29)-(E29*G29))/(1-(I29/100)))))))</f>
        <v/>
      </c>
      <c r="I29" s="9" t="n"/>
      <c r="J29" s="9" t="n"/>
      <c r="K29" s="8">
        <f>H29*I29%</f>
        <v/>
      </c>
      <c r="L29" s="8">
        <f>E29*J29%</f>
        <v/>
      </c>
      <c r="M29" s="8">
        <f>IF(G29="",0,IF(G29="S",H29*((I29-J29)%),IF(G29="N",K29-L29,IF(G29&gt;0,H29*((I29-J29)%)))))</f>
        <v/>
      </c>
      <c r="N29" s="8" t="n"/>
      <c r="O29" s="8">
        <f>M29-N29</f>
        <v/>
      </c>
    </row>
    <row r="30" ht="18" customHeight="1">
      <c r="A30" s="6" t="n"/>
      <c r="B30" s="7" t="n"/>
      <c r="C30" s="7" t="n"/>
      <c r="D30" s="6" t="n"/>
      <c r="E30" s="8" t="n"/>
      <c r="F30" s="8" t="n"/>
      <c r="G30" s="6" t="n"/>
      <c r="H30" s="8">
        <f>IF(G30="",0,(IF(G30="N",((E30+F30)-(E30*J30%))/(1-(I30/100)),IF(G30="S",((E30+F30)/(1-(I30/100))),IF(G30&gt;0,((E30+F30)-(E30*G30))/(1-(I30/100)))))))</f>
        <v/>
      </c>
      <c r="I30" s="9" t="n"/>
      <c r="J30" s="9" t="n"/>
      <c r="K30" s="8">
        <f>H30*I30%</f>
        <v/>
      </c>
      <c r="L30" s="8">
        <f>E30*J30%</f>
        <v/>
      </c>
      <c r="M30" s="8">
        <f>IF(G30="",0,IF(G30="S",H30*((I30-J30)%),IF(G30="N",K30-L30,IF(G30&gt;0,H30*((I30-J30)%)))))</f>
        <v/>
      </c>
      <c r="N30" s="8" t="n"/>
      <c r="O30" s="8">
        <f>M30-N30</f>
        <v/>
      </c>
    </row>
    <row r="31" ht="18" customHeight="1">
      <c r="A31" s="6" t="n"/>
      <c r="B31" s="7" t="n"/>
      <c r="C31" s="7" t="n"/>
      <c r="D31" s="6" t="n"/>
      <c r="E31" s="8" t="n"/>
      <c r="F31" s="8" t="n"/>
      <c r="G31" s="6" t="n"/>
      <c r="H31" s="8">
        <f>IF(G31="",0,(IF(G31="N",((E31+F31)-(E31*J31%))/(1-(I31/100)),IF(G31="S",((E31+F31)/(1-(I31/100))),IF(G31&gt;0,((E31+F31)-(E31*G31))/(1-(I31/100)))))))</f>
        <v/>
      </c>
      <c r="I31" s="9" t="n"/>
      <c r="J31" s="9" t="n"/>
      <c r="K31" s="8">
        <f>H31*I31%</f>
        <v/>
      </c>
      <c r="L31" s="8">
        <f>E31*J31%</f>
        <v/>
      </c>
      <c r="M31" s="8">
        <f>IF(G31="",0,IF(G31="S",H31*((I31-J31)%),IF(G31="N",K31-L31,IF(G31&gt;0,H31*((I31-J31)%)))))</f>
        <v/>
      </c>
      <c r="N31" s="8" t="n"/>
      <c r="O31" s="8">
        <f>M31-N31</f>
        <v/>
      </c>
    </row>
    <row r="32" ht="18" customHeight="1">
      <c r="A32" s="6" t="n"/>
      <c r="B32" s="7" t="n"/>
      <c r="C32" s="7" t="n"/>
      <c r="D32" s="6" t="n"/>
      <c r="E32" s="8" t="n"/>
      <c r="F32" s="8" t="n"/>
      <c r="G32" s="6" t="n"/>
      <c r="H32" s="8">
        <f>IF(G32="",0,(IF(G32="N",((E32+F32)-(E32*J32%))/(1-(I32/100)),IF(G32="S",((E32+F32)/(1-(I32/100))),IF(G32&gt;0,((E32+F32)-(E32*G32))/(1-(I32/100)))))))</f>
        <v/>
      </c>
      <c r="I32" s="9" t="n"/>
      <c r="J32" s="9" t="n"/>
      <c r="K32" s="8">
        <f>H32*I32%</f>
        <v/>
      </c>
      <c r="L32" s="8">
        <f>E32*J32%</f>
        <v/>
      </c>
      <c r="M32" s="8">
        <f>IF(G32="",0,IF(G32="S",H32*((I32-J32)%),IF(G32="N",K32-L32,IF(G32&gt;0,H32*((I32-J32)%)))))</f>
        <v/>
      </c>
      <c r="N32" s="8" t="n"/>
      <c r="O32" s="8">
        <f>M32-N32</f>
        <v/>
      </c>
    </row>
    <row r="33" ht="18" customHeight="1">
      <c r="A33" s="6" t="n"/>
      <c r="B33" s="7" t="n"/>
      <c r="C33" s="7" t="n"/>
      <c r="D33" s="6" t="n"/>
      <c r="E33" s="8" t="n"/>
      <c r="F33" s="8" t="n"/>
      <c r="G33" s="6" t="n"/>
      <c r="H33" s="8">
        <f>IF(G33="",0,(IF(G33="N",((E33+F33)-(E33*J33%))/(1-(I33/100)),IF(G33="S",((E33+F33)/(1-(I33/100))),IF(G33&gt;0,((E33+F33)-(E33*G33))/(1-(I33/100)))))))</f>
        <v/>
      </c>
      <c r="I33" s="9" t="n"/>
      <c r="J33" s="9" t="n"/>
      <c r="K33" s="8">
        <f>H33*I33%</f>
        <v/>
      </c>
      <c r="L33" s="8">
        <f>E33*J33%</f>
        <v/>
      </c>
      <c r="M33" s="8">
        <f>IF(G33="",0,IF(G33="S",H33*((I33-J33)%),IF(G33="N",K33-L33,IF(G33&gt;0,H33*((I33-J33)%)))))</f>
        <v/>
      </c>
      <c r="N33" s="8" t="n"/>
      <c r="O33" s="8">
        <f>M33-N33</f>
        <v/>
      </c>
    </row>
    <row r="34" ht="18" customHeight="1">
      <c r="A34" s="6" t="n"/>
      <c r="B34" s="7" t="n"/>
      <c r="C34" s="7" t="n"/>
      <c r="D34" s="6" t="n"/>
      <c r="E34" s="8" t="n"/>
      <c r="F34" s="8" t="n"/>
      <c r="G34" s="6" t="n"/>
      <c r="H34" s="8">
        <f>IF(G34="",0,(IF(G34="N",((E34+F34)-(E34*J34%))/(1-(I34/100)),IF(G34="S",((E34+F34)/(1-(I34/100))),IF(G34&gt;0,((E34+F34)-(E34*G34))/(1-(I34/100)))))))</f>
        <v/>
      </c>
      <c r="I34" s="9" t="n"/>
      <c r="J34" s="9" t="n"/>
      <c r="K34" s="8">
        <f>H34*I34%</f>
        <v/>
      </c>
      <c r="L34" s="8">
        <f>E34*J34%</f>
        <v/>
      </c>
      <c r="M34" s="8">
        <f>IF(G34="",0,IF(G34="S",H34*((I34-J34)%),IF(G34="N",K34-L34,IF(G34&gt;0,H34*((I34-J34)%)))))</f>
        <v/>
      </c>
      <c r="N34" s="8" t="n"/>
      <c r="O34" s="8">
        <f>M34-N34</f>
        <v/>
      </c>
    </row>
    <row r="35" ht="18" customHeight="1">
      <c r="A35" s="6" t="n"/>
      <c r="B35" s="7" t="n"/>
      <c r="C35" s="7" t="n"/>
      <c r="D35" s="6" t="n"/>
      <c r="E35" s="8" t="n"/>
      <c r="F35" s="8" t="n"/>
      <c r="G35" s="6" t="n"/>
      <c r="H35" s="8">
        <f>IF(G35="",0,(IF(G35="N",((E35+F35)-(E35*J35%))/(1-(I35/100)),IF(G35="S",((E35+F35)/(1-(I35/100))),IF(G35&gt;0,((E35+F35)-(E35*G35))/(1-(I35/100)))))))</f>
        <v/>
      </c>
      <c r="I35" s="9" t="n"/>
      <c r="J35" s="9" t="n"/>
      <c r="K35" s="8">
        <f>H35*I35%</f>
        <v/>
      </c>
      <c r="L35" s="8">
        <f>E35*J35%</f>
        <v/>
      </c>
      <c r="M35" s="8">
        <f>IF(G35="",0,IF(G35="S",H35*((I35-J35)%),IF(G35="N",K35-L35,IF(G35&gt;0,H35*((I35-J35)%)))))</f>
        <v/>
      </c>
      <c r="N35" s="8" t="n"/>
      <c r="O35" s="8">
        <f>M35-N35</f>
        <v/>
      </c>
    </row>
    <row r="36" ht="18" customHeight="1">
      <c r="A36" s="6" t="n"/>
      <c r="B36" s="7" t="n"/>
      <c r="C36" s="7" t="n"/>
      <c r="D36" s="6" t="n"/>
      <c r="E36" s="8" t="n"/>
      <c r="F36" s="8" t="n"/>
      <c r="G36" s="6" t="n"/>
      <c r="H36" s="8">
        <f>IF(G36="",0,(IF(G36="N",((E36+F36)-(E36*J36%))/(1-(I36/100)),IF(G36="S",((E36+F36)/(1-(I36/100))),IF(G36&gt;0,((E36+F36)-(E36*G36))/(1-(I36/100)))))))</f>
        <v/>
      </c>
      <c r="I36" s="9" t="n"/>
      <c r="J36" s="9" t="n"/>
      <c r="K36" s="8">
        <f>H36*I36%</f>
        <v/>
      </c>
      <c r="L36" s="8">
        <f>E36*J36%</f>
        <v/>
      </c>
      <c r="M36" s="8">
        <f>IF(G36="",0,IF(G36="S",H36*((I36-J36)%),IF(G36="N",K36-L36,IF(G36&gt;0,H36*((I36-J36)%)))))</f>
        <v/>
      </c>
      <c r="N36" s="8" t="n"/>
      <c r="O36" s="8">
        <f>M36-N36</f>
        <v/>
      </c>
    </row>
    <row r="37" ht="18" customHeight="1">
      <c r="A37" s="6" t="n"/>
      <c r="B37" s="7" t="n"/>
      <c r="C37" s="7" t="n"/>
      <c r="D37" s="6" t="n"/>
      <c r="E37" s="8" t="n"/>
      <c r="F37" s="8" t="n"/>
      <c r="G37" s="6" t="n"/>
      <c r="H37" s="8">
        <f>IF(G37="",0,(IF(G37="N",((E37+F37)-(E37*J37%))/(1-(I37/100)),IF(G37="S",((E37+F37)/(1-(I37/100))),IF(G37&gt;0,((E37+F37)-(E37*G37))/(1-(I37/100)))))))</f>
        <v/>
      </c>
      <c r="I37" s="9" t="n"/>
      <c r="J37" s="9" t="n"/>
      <c r="K37" s="8">
        <f>H37*I37%</f>
        <v/>
      </c>
      <c r="L37" s="8">
        <f>E37*J37%</f>
        <v/>
      </c>
      <c r="M37" s="8">
        <f>IF(G37="",0,IF(G37="S",H37*((I37-J37)%),IF(G37="N",K37-L37,IF(G37&gt;0,H37*((I37-J37)%)))))</f>
        <v/>
      </c>
      <c r="N37" s="8" t="n"/>
      <c r="O37" s="8">
        <f>M37-N37</f>
        <v/>
      </c>
    </row>
    <row r="38" ht="18" customHeight="1">
      <c r="A38" s="6" t="n"/>
      <c r="B38" s="7" t="n"/>
      <c r="C38" s="7" t="n"/>
      <c r="D38" s="6" t="n"/>
      <c r="E38" s="8" t="n"/>
      <c r="F38" s="8" t="n"/>
      <c r="G38" s="6" t="n"/>
      <c r="H38" s="8">
        <f>IF(G38="",0,(IF(G38="N",((E38+F38)-(E38*J38%))/(1-(I38/100)),IF(G38="S",((E38+F38)/(1-(I38/100))),IF(G38&gt;0,((E38+F38)-(E38*G38))/(1-(I38/100)))))))</f>
        <v/>
      </c>
      <c r="I38" s="9" t="n"/>
      <c r="J38" s="9" t="n"/>
      <c r="K38" s="8">
        <f>H38*I38%</f>
        <v/>
      </c>
      <c r="L38" s="8">
        <f>E38*J38%</f>
        <v/>
      </c>
      <c r="M38" s="8">
        <f>IF(G38="",0,IF(G38="S",H38*((I38-J38)%),IF(G38="N",K38-L38,IF(G38&gt;0,H38*((I38-J38)%)))))</f>
        <v/>
      </c>
      <c r="N38" s="8" t="n"/>
      <c r="O38" s="8">
        <f>M38-N38</f>
        <v/>
      </c>
    </row>
    <row r="39" ht="20" customHeight="1">
      <c r="A39" s="10" t="n"/>
      <c r="B39" s="10" t="n"/>
      <c r="C39" s="10" t="n"/>
      <c r="D39" s="11" t="inlineStr">
        <is>
          <t>TOTAL</t>
        </is>
      </c>
      <c r="E39" s="12">
        <f>SUM(E4:E38)</f>
        <v/>
      </c>
      <c r="F39" s="12">
        <f>SUM(F4:F38)</f>
        <v/>
      </c>
      <c r="G39" s="10" t="n"/>
      <c r="H39" s="12">
        <f>SUM(H4:H38)</f>
        <v/>
      </c>
      <c r="I39" s="10" t="n"/>
      <c r="J39" s="10" t="n"/>
      <c r="K39" s="12">
        <f>SUM(K4:K38)</f>
        <v/>
      </c>
      <c r="L39" s="12">
        <f>SUM(L4:L38)</f>
        <v/>
      </c>
      <c r="M39" s="12">
        <f>SUM(M4:M38)</f>
        <v/>
      </c>
      <c r="N39" s="12">
        <f>SUM(N4:N38)</f>
        <v/>
      </c>
      <c r="O39" s="12">
        <f>SUM(O4:O38)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cols>
    <col width="4.5" customWidth="1" min="1" max="1"/>
    <col width="13" customWidth="1" min="2" max="2"/>
    <col width="14" customWidth="1" min="3" max="3"/>
    <col width="12" customWidth="1" min="4" max="4"/>
    <col width="15" customWidth="1" min="5" max="5"/>
    <col width="14" customWidth="1" min="6" max="6"/>
    <col width="14" customWidth="1" min="7" max="7"/>
    <col width="15" customWidth="1" min="8" max="8"/>
    <col width="10" customWidth="1" min="9" max="9"/>
    <col width="10" customWidth="1" min="10" max="10"/>
    <col width="15" customWidth="1" min="11" max="11"/>
    <col width="14" customWidth="1" min="12" max="12"/>
    <col width="16" customWidth="1" min="13" max="13"/>
    <col width="14" customWidth="1" min="14" max="14"/>
    <col width="16" customWidth="1" min="15" max="15"/>
  </cols>
  <sheetData>
    <row r="1" ht="24" customHeight="1">
      <c r="E1" s="1" t="inlineStr">
        <is>
          <t>CÁLCULO DIFERENCIAL DE ALÍQUOTA</t>
        </is>
      </c>
      <c r="N1" s="2" t="inlineStr">
        <is>
          <t>Código: RP-158                        Revisão: 00</t>
        </is>
      </c>
    </row>
    <row r="2" ht="20" customHeight="1">
      <c r="A2" s="3" t="inlineStr">
        <is>
          <t>Empresa:                                                                  I.E.:                                 Comp: 07/2026</t>
        </is>
      </c>
    </row>
    <row r="3" ht="28" customHeight="1">
      <c r="A3" s="4" t="inlineStr"/>
      <c r="B3" s="4" t="inlineStr">
        <is>
          <t>DATA ENTRADA</t>
        </is>
      </c>
      <c r="C3" s="4" t="inlineStr">
        <is>
          <t>DATA EMISSÃO</t>
        </is>
      </c>
      <c r="D3" s="4" t="inlineStr">
        <is>
          <t>N.  FISCAL</t>
        </is>
      </c>
      <c r="E3" s="5" t="inlineStr">
        <is>
          <t xml:space="preserve">   V. CONTÁBIL</t>
        </is>
      </c>
      <c r="F3" s="5" t="inlineStr">
        <is>
          <t xml:space="preserve"> IPI + DESP</t>
        </is>
      </c>
      <c r="G3" s="4" t="inlineStr">
        <is>
          <t>ALIQ. SIMPLES</t>
        </is>
      </c>
      <c r="H3" s="5" t="inlineStr">
        <is>
          <t>B.CÁLCULO</t>
        </is>
      </c>
      <c r="I3" s="5" t="inlineStr">
        <is>
          <t xml:space="preserve">  A. DST</t>
        </is>
      </c>
      <c r="J3" s="5" t="inlineStr">
        <is>
          <t xml:space="preserve">  A.ORI</t>
        </is>
      </c>
      <c r="K3" s="5" t="inlineStr">
        <is>
          <t>DÉBITO</t>
        </is>
      </c>
      <c r="L3" s="5" t="inlineStr">
        <is>
          <t>CRÉDITO</t>
        </is>
      </c>
      <c r="M3" s="5" t="inlineStr">
        <is>
          <t>VR.DEVIDO</t>
        </is>
      </c>
      <c r="N3" s="5" t="inlineStr">
        <is>
          <t>VR. PAGO</t>
        </is>
      </c>
      <c r="O3" s="5" t="inlineStr">
        <is>
          <t>DIFER.</t>
        </is>
      </c>
    </row>
    <row r="4" ht="18" customHeight="1">
      <c r="A4" s="6" t="n"/>
      <c r="B4" s="7" t="n"/>
      <c r="C4" s="7" t="n"/>
      <c r="D4" s="6" t="n"/>
      <c r="E4" s="8" t="n"/>
      <c r="F4" s="8" t="n"/>
      <c r="G4" s="6" t="n"/>
      <c r="H4" s="8">
        <f>IF(G4="",0,(IF(G4="N",((E4+F4)-(E4*J4%))/(1-(I4/100)),IF(G4="S",((E4+F4)/(1-(I4/100))),IF(G4&gt;0,((E4+F4)-(E4*G4))/(1-(I4/100)))))))</f>
        <v/>
      </c>
      <c r="I4" s="9" t="n"/>
      <c r="J4" s="9" t="n"/>
      <c r="K4" s="8">
        <f>H4*I4%</f>
        <v/>
      </c>
      <c r="L4" s="8">
        <f>E4*J4%</f>
        <v/>
      </c>
      <c r="M4" s="8">
        <f>IF(G4="",0,IF(G4="S",H4*((I4-J4)%),IF(G4="N",K4-L4,IF(G4&gt;0,H4*((I4-J4)%)))))</f>
        <v/>
      </c>
      <c r="N4" s="8" t="n"/>
      <c r="O4" s="8">
        <f>M4-N4</f>
        <v/>
      </c>
    </row>
    <row r="5" ht="18" customHeight="1">
      <c r="A5" s="6" t="n"/>
      <c r="B5" s="7" t="n"/>
      <c r="C5" s="7" t="n"/>
      <c r="D5" s="6" t="n"/>
      <c r="E5" s="8" t="n"/>
      <c r="F5" s="8" t="n"/>
      <c r="G5" s="6" t="n"/>
      <c r="H5" s="8">
        <f>IF(G5="",0,(IF(G5="N",((E5+F5)-(E5*J5%))/(1-(I5/100)),IF(G5="S",((E5+F5)/(1-(I5/100))),IF(G5&gt;0,((E5+F5)-(E5*G5))/(1-(I5/100)))))))</f>
        <v/>
      </c>
      <c r="I5" s="9" t="n"/>
      <c r="J5" s="9" t="n"/>
      <c r="K5" s="8">
        <f>H5*I5%</f>
        <v/>
      </c>
      <c r="L5" s="8">
        <f>E5*J5%</f>
        <v/>
      </c>
      <c r="M5" s="8">
        <f>IF(G5="",0,IF(G5="S",H5*((I5-J5)%),IF(G5="N",K5-L5,IF(G5&gt;0,H5*((I5-J5)%)))))</f>
        <v/>
      </c>
      <c r="N5" s="8" t="n"/>
      <c r="O5" s="8">
        <f>M5-N5</f>
        <v/>
      </c>
    </row>
    <row r="6" ht="18" customHeight="1">
      <c r="A6" s="6" t="n"/>
      <c r="B6" s="7" t="n"/>
      <c r="C6" s="7" t="n"/>
      <c r="D6" s="6" t="n"/>
      <c r="E6" s="8" t="n"/>
      <c r="F6" s="8" t="n"/>
      <c r="G6" s="6" t="n"/>
      <c r="H6" s="8">
        <f>IF(G6="",0,(IF(G6="N",((E6+F6)-(E6*J6%))/(1-(I6/100)),IF(G6="S",((E6+F6)/(1-(I6/100))),IF(G6&gt;0,((E6+F6)-(E6*G6))/(1-(I6/100)))))))</f>
        <v/>
      </c>
      <c r="I6" s="9" t="n"/>
      <c r="J6" s="9" t="n"/>
      <c r="K6" s="8">
        <f>H6*I6%</f>
        <v/>
      </c>
      <c r="L6" s="8">
        <f>E6*J6%</f>
        <v/>
      </c>
      <c r="M6" s="8">
        <f>IF(G6="",0,IF(G6="S",H6*((I6-J6)%),IF(G6="N",K6-L6,IF(G6&gt;0,H6*((I6-J6)%)))))</f>
        <v/>
      </c>
      <c r="N6" s="8" t="n"/>
      <c r="O6" s="8">
        <f>M6-N6</f>
        <v/>
      </c>
    </row>
    <row r="7" ht="18" customHeight="1">
      <c r="A7" s="6" t="n"/>
      <c r="B7" s="7" t="n"/>
      <c r="C7" s="7" t="n"/>
      <c r="D7" s="6" t="n"/>
      <c r="E7" s="8" t="n"/>
      <c r="F7" s="8" t="n"/>
      <c r="G7" s="6" t="n"/>
      <c r="H7" s="8">
        <f>IF(G7="",0,(IF(G7="N",((E7+F7)-(E7*J7%))/(1-(I7/100)),IF(G7="S",((E7+F7)/(1-(I7/100))),IF(G7&gt;0,((E7+F7)-(E7*G7))/(1-(I7/100)))))))</f>
        <v/>
      </c>
      <c r="I7" s="9" t="n"/>
      <c r="J7" s="9" t="n"/>
      <c r="K7" s="8">
        <f>H7*I7%</f>
        <v/>
      </c>
      <c r="L7" s="8">
        <f>E7*J7%</f>
        <v/>
      </c>
      <c r="M7" s="8">
        <f>IF(G7="",0,IF(G7="S",H7*((I7-J7)%),IF(G7="N",K7-L7,IF(G7&gt;0,H7*((I7-J7)%)))))</f>
        <v/>
      </c>
      <c r="N7" s="8" t="n"/>
      <c r="O7" s="8">
        <f>M7-N7</f>
        <v/>
      </c>
    </row>
    <row r="8" ht="18" customHeight="1">
      <c r="A8" s="6" t="n"/>
      <c r="B8" s="7" t="n"/>
      <c r="C8" s="7" t="n"/>
      <c r="D8" s="6" t="n"/>
      <c r="E8" s="8" t="n"/>
      <c r="F8" s="8" t="n"/>
      <c r="G8" s="6" t="n"/>
      <c r="H8" s="8">
        <f>IF(G8="",0,(IF(G8="N",((E8+F8)-(E8*J8%))/(1-(I8/100)),IF(G8="S",((E8+F8)/(1-(I8/100))),IF(G8&gt;0,((E8+F8)-(E8*G8))/(1-(I8/100)))))))</f>
        <v/>
      </c>
      <c r="I8" s="9" t="n"/>
      <c r="J8" s="9" t="n"/>
      <c r="K8" s="8">
        <f>H8*I8%</f>
        <v/>
      </c>
      <c r="L8" s="8">
        <f>E8*J8%</f>
        <v/>
      </c>
      <c r="M8" s="8">
        <f>IF(G8="",0,IF(G8="S",H8*((I8-J8)%),IF(G8="N",K8-L8,IF(G8&gt;0,H8*((I8-J8)%)))))</f>
        <v/>
      </c>
      <c r="N8" s="8" t="n"/>
      <c r="O8" s="8">
        <f>M8-N8</f>
        <v/>
      </c>
    </row>
    <row r="9" ht="18" customHeight="1">
      <c r="A9" s="6" t="n"/>
      <c r="B9" s="7" t="n"/>
      <c r="C9" s="7" t="n"/>
      <c r="D9" s="6" t="n"/>
      <c r="E9" s="8" t="n"/>
      <c r="F9" s="8" t="n"/>
      <c r="G9" s="6" t="n"/>
      <c r="H9" s="8">
        <f>IF(G9="",0,(IF(G9="N",((E9+F9)-(E9*J9%))/(1-(I9/100)),IF(G9="S",((E9+F9)/(1-(I9/100))),IF(G9&gt;0,((E9+F9)-(E9*G9))/(1-(I9/100)))))))</f>
        <v/>
      </c>
      <c r="I9" s="9" t="n"/>
      <c r="J9" s="9" t="n"/>
      <c r="K9" s="8">
        <f>H9*I9%</f>
        <v/>
      </c>
      <c r="L9" s="8">
        <f>E9*J9%</f>
        <v/>
      </c>
      <c r="M9" s="8">
        <f>IF(G9="",0,IF(G9="S",H9*((I9-J9)%),IF(G9="N",K9-L9,IF(G9&gt;0,H9*((I9-J9)%)))))</f>
        <v/>
      </c>
      <c r="N9" s="8" t="n"/>
      <c r="O9" s="8">
        <f>M9-N9</f>
        <v/>
      </c>
    </row>
    <row r="10" ht="18" customHeight="1">
      <c r="A10" s="6" t="n"/>
      <c r="B10" s="7" t="n"/>
      <c r="C10" s="7" t="n"/>
      <c r="D10" s="6" t="n"/>
      <c r="E10" s="8" t="n"/>
      <c r="F10" s="8" t="n"/>
      <c r="G10" s="6" t="n"/>
      <c r="H10" s="8">
        <f>IF(G10="",0,(IF(G10="N",((E10+F10)-(E10*J10%))/(1-(I10/100)),IF(G10="S",((E10+F10)/(1-(I10/100))),IF(G10&gt;0,((E10+F10)-(E10*G10))/(1-(I10/100)))))))</f>
        <v/>
      </c>
      <c r="I10" s="9" t="n"/>
      <c r="J10" s="9" t="n"/>
      <c r="K10" s="8">
        <f>H10*I10%</f>
        <v/>
      </c>
      <c r="L10" s="8">
        <f>E10*J10%</f>
        <v/>
      </c>
      <c r="M10" s="8">
        <f>IF(G10="",0,IF(G10="S",H10*((I10-J10)%),IF(G10="N",K10-L10,IF(G10&gt;0,H10*((I10-J10)%)))))</f>
        <v/>
      </c>
      <c r="N10" s="8" t="n"/>
      <c r="O10" s="8">
        <f>M10-N10</f>
        <v/>
      </c>
    </row>
    <row r="11" ht="18" customHeight="1">
      <c r="A11" s="6" t="n"/>
      <c r="B11" s="7" t="n"/>
      <c r="C11" s="7" t="n"/>
      <c r="D11" s="6" t="n"/>
      <c r="E11" s="8" t="n"/>
      <c r="F11" s="8" t="n"/>
      <c r="G11" s="6" t="n"/>
      <c r="H11" s="8">
        <f>IF(G11="",0,(IF(G11="N",((E11+F11)-(E11*J11%))/(1-(I11/100)),IF(G11="S",((E11+F11)/(1-(I11/100))),IF(G11&gt;0,((E11+F11)-(E11*G11))/(1-(I11/100)))))))</f>
        <v/>
      </c>
      <c r="I11" s="9" t="n"/>
      <c r="J11" s="9" t="n"/>
      <c r="K11" s="8">
        <f>H11*I11%</f>
        <v/>
      </c>
      <c r="L11" s="8">
        <f>E11*J11%</f>
        <v/>
      </c>
      <c r="M11" s="8">
        <f>IF(G11="",0,IF(G11="S",H11*((I11-J11)%),IF(G11="N",K11-L11,IF(G11&gt;0,H11*((I11-J11)%)))))</f>
        <v/>
      </c>
      <c r="N11" s="8" t="n"/>
      <c r="O11" s="8">
        <f>M11-N11</f>
        <v/>
      </c>
    </row>
    <row r="12" ht="18" customHeight="1">
      <c r="A12" s="6" t="n"/>
      <c r="B12" s="7" t="n"/>
      <c r="C12" s="7" t="n"/>
      <c r="D12" s="6" t="n"/>
      <c r="E12" s="8" t="n"/>
      <c r="F12" s="8" t="n"/>
      <c r="G12" s="6" t="n"/>
      <c r="H12" s="8">
        <f>IF(G12="",0,(IF(G12="N",((E12+F12)-(E12*J12%))/(1-(I12/100)),IF(G12="S",((E12+F12)/(1-(I12/100))),IF(G12&gt;0,((E12+F12)-(E12*G12))/(1-(I12/100)))))))</f>
        <v/>
      </c>
      <c r="I12" s="9" t="n"/>
      <c r="J12" s="9" t="n"/>
      <c r="K12" s="8">
        <f>H12*I12%</f>
        <v/>
      </c>
      <c r="L12" s="8">
        <f>E12*J12%</f>
        <v/>
      </c>
      <c r="M12" s="8">
        <f>IF(G12="",0,IF(G12="S",H12*((I12-J12)%),IF(G12="N",K12-L12,IF(G12&gt;0,H12*((I12-J12)%)))))</f>
        <v/>
      </c>
      <c r="N12" s="8" t="n"/>
      <c r="O12" s="8">
        <f>M12-N12</f>
        <v/>
      </c>
    </row>
    <row r="13" ht="18" customHeight="1">
      <c r="A13" s="6" t="n"/>
      <c r="B13" s="7" t="n"/>
      <c r="C13" s="7" t="n"/>
      <c r="D13" s="6" t="n"/>
      <c r="E13" s="8" t="n"/>
      <c r="F13" s="8" t="n"/>
      <c r="G13" s="6" t="n"/>
      <c r="H13" s="8">
        <f>IF(G13="",0,(IF(G13="N",((E13+F13)-(E13*J13%))/(1-(I13/100)),IF(G13="S",((E13+F13)/(1-(I13/100))),IF(G13&gt;0,((E13+F13)-(E13*G13))/(1-(I13/100)))))))</f>
        <v/>
      </c>
      <c r="I13" s="9" t="n"/>
      <c r="J13" s="9" t="n"/>
      <c r="K13" s="8">
        <f>H13*I13%</f>
        <v/>
      </c>
      <c r="L13" s="8">
        <f>E13*J13%</f>
        <v/>
      </c>
      <c r="M13" s="8">
        <f>IF(G13="",0,IF(G13="S",H13*((I13-J13)%),IF(G13="N",K13-L13,IF(G13&gt;0,H13*((I13-J13)%)))))</f>
        <v/>
      </c>
      <c r="N13" s="8" t="n"/>
      <c r="O13" s="8">
        <f>M13-N13</f>
        <v/>
      </c>
    </row>
    <row r="14" ht="18" customHeight="1">
      <c r="A14" s="6" t="n"/>
      <c r="B14" s="7" t="n"/>
      <c r="C14" s="7" t="n"/>
      <c r="D14" s="6" t="n"/>
      <c r="E14" s="8" t="n"/>
      <c r="F14" s="8" t="n"/>
      <c r="G14" s="6" t="n"/>
      <c r="H14" s="8">
        <f>IF(G14="",0,(IF(G14="N",((E14+F14)-(E14*J14%))/(1-(I14/100)),IF(G14="S",((E14+F14)/(1-(I14/100))),IF(G14&gt;0,((E14+F14)-(E14*G14))/(1-(I14/100)))))))</f>
        <v/>
      </c>
      <c r="I14" s="9" t="n"/>
      <c r="J14" s="9" t="n"/>
      <c r="K14" s="8">
        <f>H14*I14%</f>
        <v/>
      </c>
      <c r="L14" s="8">
        <f>E14*J14%</f>
        <v/>
      </c>
      <c r="M14" s="8">
        <f>IF(G14="",0,IF(G14="S",H14*((I14-J14)%),IF(G14="N",K14-L14,IF(G14&gt;0,H14*((I14-J14)%)))))</f>
        <v/>
      </c>
      <c r="N14" s="8" t="n"/>
      <c r="O14" s="8">
        <f>M14-N14</f>
        <v/>
      </c>
    </row>
    <row r="15" ht="18" customHeight="1">
      <c r="A15" s="6" t="n"/>
      <c r="B15" s="7" t="n"/>
      <c r="C15" s="7" t="n"/>
      <c r="D15" s="6" t="n"/>
      <c r="E15" s="8" t="n"/>
      <c r="F15" s="8" t="n"/>
      <c r="G15" s="6" t="n"/>
      <c r="H15" s="8">
        <f>IF(G15="",0,(IF(G15="N",((E15+F15)-(E15*J15%))/(1-(I15/100)),IF(G15="S",((E15+F15)/(1-(I15/100))),IF(G15&gt;0,((E15+F15)-(E15*G15))/(1-(I15/100)))))))</f>
        <v/>
      </c>
      <c r="I15" s="9" t="n"/>
      <c r="J15" s="9" t="n"/>
      <c r="K15" s="8">
        <f>H15*I15%</f>
        <v/>
      </c>
      <c r="L15" s="8">
        <f>E15*J15%</f>
        <v/>
      </c>
      <c r="M15" s="8">
        <f>IF(G15="",0,IF(G15="S",H15*((I15-J15)%),IF(G15="N",K15-L15,IF(G15&gt;0,H15*((I15-J15)%)))))</f>
        <v/>
      </c>
      <c r="N15" s="8" t="n"/>
      <c r="O15" s="8">
        <f>M15-N15</f>
        <v/>
      </c>
    </row>
    <row r="16" ht="18" customHeight="1">
      <c r="A16" s="6" t="n"/>
      <c r="B16" s="7" t="n"/>
      <c r="C16" s="7" t="n"/>
      <c r="D16" s="6" t="n"/>
      <c r="E16" s="8" t="n"/>
      <c r="F16" s="8" t="n"/>
      <c r="G16" s="6" t="n"/>
      <c r="H16" s="8">
        <f>IF(G16="",0,(IF(G16="N",((E16+F16)-(E16*J16%))/(1-(I16/100)),IF(G16="S",((E16+F16)/(1-(I16/100))),IF(G16&gt;0,((E16+F16)-(E16*G16))/(1-(I16/100)))))))</f>
        <v/>
      </c>
      <c r="I16" s="9" t="n"/>
      <c r="J16" s="9" t="n"/>
      <c r="K16" s="8">
        <f>H16*I16%</f>
        <v/>
      </c>
      <c r="L16" s="8">
        <f>E16*J16%</f>
        <v/>
      </c>
      <c r="M16" s="8">
        <f>IF(G16="",0,IF(G16="S",H16*((I16-J16)%),IF(G16="N",K16-L16,IF(G16&gt;0,H16*((I16-J16)%)))))</f>
        <v/>
      </c>
      <c r="N16" s="8" t="n"/>
      <c r="O16" s="8">
        <f>M16-N16</f>
        <v/>
      </c>
    </row>
    <row r="17" ht="18" customHeight="1">
      <c r="A17" s="6" t="n"/>
      <c r="B17" s="7" t="n"/>
      <c r="C17" s="7" t="n"/>
      <c r="D17" s="6" t="n"/>
      <c r="E17" s="8" t="n"/>
      <c r="F17" s="8" t="n"/>
      <c r="G17" s="6" t="n"/>
      <c r="H17" s="8">
        <f>IF(G17="",0,(IF(G17="N",((E17+F17)-(E17*J17%))/(1-(I17/100)),IF(G17="S",((E17+F17)/(1-(I17/100))),IF(G17&gt;0,((E17+F17)-(E17*G17))/(1-(I17/100)))))))</f>
        <v/>
      </c>
      <c r="I17" s="9" t="n"/>
      <c r="J17" s="9" t="n"/>
      <c r="K17" s="8">
        <f>H17*I17%</f>
        <v/>
      </c>
      <c r="L17" s="8">
        <f>E17*J17%</f>
        <v/>
      </c>
      <c r="M17" s="8">
        <f>IF(G17="",0,IF(G17="S",H17*((I17-J17)%),IF(G17="N",K17-L17,IF(G17&gt;0,H17*((I17-J17)%)))))</f>
        <v/>
      </c>
      <c r="N17" s="8" t="n"/>
      <c r="O17" s="8">
        <f>M17-N17</f>
        <v/>
      </c>
    </row>
    <row r="18" ht="18" customHeight="1">
      <c r="A18" s="6" t="n"/>
      <c r="B18" s="7" t="n"/>
      <c r="C18" s="7" t="n"/>
      <c r="D18" s="6" t="n"/>
      <c r="E18" s="8" t="n"/>
      <c r="F18" s="8" t="n"/>
      <c r="G18" s="6" t="n"/>
      <c r="H18" s="8">
        <f>IF(G18="",0,(IF(G18="N",((E18+F18)-(E18*J18%))/(1-(I18/100)),IF(G18="S",((E18+F18)/(1-(I18/100))),IF(G18&gt;0,((E18+F18)-(E18*G18))/(1-(I18/100)))))))</f>
        <v/>
      </c>
      <c r="I18" s="9" t="n"/>
      <c r="J18" s="9" t="n"/>
      <c r="K18" s="8">
        <f>H18*I18%</f>
        <v/>
      </c>
      <c r="L18" s="8">
        <f>E18*J18%</f>
        <v/>
      </c>
      <c r="M18" s="8">
        <f>IF(G18="",0,IF(G18="S",H18*((I18-J18)%),IF(G18="N",K18-L18,IF(G18&gt;0,H18*((I18-J18)%)))))</f>
        <v/>
      </c>
      <c r="N18" s="8" t="n"/>
      <c r="O18" s="8">
        <f>M18-N18</f>
        <v/>
      </c>
    </row>
    <row r="19" ht="18" customHeight="1">
      <c r="A19" s="6" t="n"/>
      <c r="B19" s="7" t="n"/>
      <c r="C19" s="7" t="n"/>
      <c r="D19" s="6" t="n"/>
      <c r="E19" s="8" t="n"/>
      <c r="F19" s="8" t="n"/>
      <c r="G19" s="6" t="n"/>
      <c r="H19" s="8">
        <f>IF(G19="",0,(IF(G19="N",((E19+F19)-(E19*J19%))/(1-(I19/100)),IF(G19="S",((E19+F19)/(1-(I19/100))),IF(G19&gt;0,((E19+F19)-(E19*G19))/(1-(I19/100)))))))</f>
        <v/>
      </c>
      <c r="I19" s="9" t="n"/>
      <c r="J19" s="9" t="n"/>
      <c r="K19" s="8">
        <f>H19*I19%</f>
        <v/>
      </c>
      <c r="L19" s="8">
        <f>E19*J19%</f>
        <v/>
      </c>
      <c r="M19" s="8">
        <f>IF(G19="",0,IF(G19="S",H19*((I19-J19)%),IF(G19="N",K19-L19,IF(G19&gt;0,H19*((I19-J19)%)))))</f>
        <v/>
      </c>
      <c r="N19" s="8" t="n"/>
      <c r="O19" s="8">
        <f>M19-N19</f>
        <v/>
      </c>
    </row>
    <row r="20" ht="18" customHeight="1">
      <c r="A20" s="6" t="n"/>
      <c r="B20" s="7" t="n"/>
      <c r="C20" s="7" t="n"/>
      <c r="D20" s="6" t="n"/>
      <c r="E20" s="8" t="n"/>
      <c r="F20" s="8" t="n"/>
      <c r="G20" s="6" t="n"/>
      <c r="H20" s="8">
        <f>IF(G20="",0,(IF(G20="N",((E20+F20)-(E20*J20%))/(1-(I20/100)),IF(G20="S",((E20+F20)/(1-(I20/100))),IF(G20&gt;0,((E20+F20)-(E20*G20))/(1-(I20/100)))))))</f>
        <v/>
      </c>
      <c r="I20" s="9" t="n"/>
      <c r="J20" s="9" t="n"/>
      <c r="K20" s="8">
        <f>H20*I20%</f>
        <v/>
      </c>
      <c r="L20" s="8">
        <f>E20*J20%</f>
        <v/>
      </c>
      <c r="M20" s="8">
        <f>IF(G20="",0,IF(G20="S",H20*((I20-J20)%),IF(G20="N",K20-L20,IF(G20&gt;0,H20*((I20-J20)%)))))</f>
        <v/>
      </c>
      <c r="N20" s="8" t="n"/>
      <c r="O20" s="8">
        <f>M20-N20</f>
        <v/>
      </c>
    </row>
    <row r="21" ht="18" customHeight="1">
      <c r="A21" s="6" t="n"/>
      <c r="B21" s="7" t="n"/>
      <c r="C21" s="7" t="n"/>
      <c r="D21" s="6" t="n"/>
      <c r="E21" s="8" t="n"/>
      <c r="F21" s="8" t="n"/>
      <c r="G21" s="6" t="n"/>
      <c r="H21" s="8">
        <f>IF(G21="",0,(IF(G21="N",((E21+F21)-(E21*J21%))/(1-(I21/100)),IF(G21="S",((E21+F21)/(1-(I21/100))),IF(G21&gt;0,((E21+F21)-(E21*G21))/(1-(I21/100)))))))</f>
        <v/>
      </c>
      <c r="I21" s="9" t="n"/>
      <c r="J21" s="9" t="n"/>
      <c r="K21" s="8">
        <f>H21*I21%</f>
        <v/>
      </c>
      <c r="L21" s="8">
        <f>E21*J21%</f>
        <v/>
      </c>
      <c r="M21" s="8">
        <f>IF(G21="",0,IF(G21="S",H21*((I21-J21)%),IF(G21="N",K21-L21,IF(G21&gt;0,H21*((I21-J21)%)))))</f>
        <v/>
      </c>
      <c r="N21" s="8" t="n"/>
      <c r="O21" s="8">
        <f>M21-N21</f>
        <v/>
      </c>
    </row>
    <row r="22" ht="18" customHeight="1">
      <c r="A22" s="6" t="n"/>
      <c r="B22" s="7" t="n"/>
      <c r="C22" s="7" t="n"/>
      <c r="D22" s="6" t="n"/>
      <c r="E22" s="8" t="n"/>
      <c r="F22" s="8" t="n"/>
      <c r="G22" s="6" t="n"/>
      <c r="H22" s="8">
        <f>IF(G22="",0,(IF(G22="N",((E22+F22)-(E22*J22%))/(1-(I22/100)),IF(G22="S",((E22+F22)/(1-(I22/100))),IF(G22&gt;0,((E22+F22)-(E22*G22))/(1-(I22/100)))))))</f>
        <v/>
      </c>
      <c r="I22" s="9" t="n"/>
      <c r="J22" s="9" t="n"/>
      <c r="K22" s="8">
        <f>H22*I22%</f>
        <v/>
      </c>
      <c r="L22" s="8">
        <f>E22*J22%</f>
        <v/>
      </c>
      <c r="M22" s="8">
        <f>IF(G22="",0,IF(G22="S",H22*((I22-J22)%),IF(G22="N",K22-L22,IF(G22&gt;0,H22*((I22-J22)%)))))</f>
        <v/>
      </c>
      <c r="N22" s="8" t="n"/>
      <c r="O22" s="8">
        <f>M22-N22</f>
        <v/>
      </c>
    </row>
    <row r="23" ht="18" customHeight="1">
      <c r="A23" s="6" t="n"/>
      <c r="B23" s="7" t="n"/>
      <c r="C23" s="7" t="n"/>
      <c r="D23" s="6" t="n"/>
      <c r="E23" s="8" t="n"/>
      <c r="F23" s="8" t="n"/>
      <c r="G23" s="6" t="n"/>
      <c r="H23" s="8">
        <f>IF(G23="",0,(IF(G23="N",((E23+F23)-(E23*J23%))/(1-(I23/100)),IF(G23="S",((E23+F23)/(1-(I23/100))),IF(G23&gt;0,((E23+F23)-(E23*G23))/(1-(I23/100)))))))</f>
        <v/>
      </c>
      <c r="I23" s="9" t="n"/>
      <c r="J23" s="9" t="n"/>
      <c r="K23" s="8">
        <f>H23*I23%</f>
        <v/>
      </c>
      <c r="L23" s="8">
        <f>E23*J23%</f>
        <v/>
      </c>
      <c r="M23" s="8">
        <f>IF(G23="",0,IF(G23="S",H23*((I23-J23)%),IF(G23="N",K23-L23,IF(G23&gt;0,H23*((I23-J23)%)))))</f>
        <v/>
      </c>
      <c r="N23" s="8" t="n"/>
      <c r="O23" s="8">
        <f>M23-N23</f>
        <v/>
      </c>
    </row>
    <row r="24" ht="18" customHeight="1">
      <c r="A24" s="6" t="n"/>
      <c r="B24" s="7" t="n"/>
      <c r="C24" s="7" t="n"/>
      <c r="D24" s="6" t="n"/>
      <c r="E24" s="8" t="n"/>
      <c r="F24" s="8" t="n"/>
      <c r="G24" s="6" t="n"/>
      <c r="H24" s="8">
        <f>IF(G24="",0,(IF(G24="N",((E24+F24)-(E24*J24%))/(1-(I24/100)),IF(G24="S",((E24+F24)/(1-(I24/100))),IF(G24&gt;0,((E24+F24)-(E24*G24))/(1-(I24/100)))))))</f>
        <v/>
      </c>
      <c r="I24" s="9" t="n"/>
      <c r="J24" s="9" t="n"/>
      <c r="K24" s="8">
        <f>H24*I24%</f>
        <v/>
      </c>
      <c r="L24" s="8">
        <f>E24*J24%</f>
        <v/>
      </c>
      <c r="M24" s="8">
        <f>IF(G24="",0,IF(G24="S",H24*((I24-J24)%),IF(G24="N",K24-L24,IF(G24&gt;0,H24*((I24-J24)%)))))</f>
        <v/>
      </c>
      <c r="N24" s="8" t="n"/>
      <c r="O24" s="8">
        <f>M24-N24</f>
        <v/>
      </c>
    </row>
    <row r="25" ht="18" customHeight="1">
      <c r="A25" s="6" t="n"/>
      <c r="B25" s="7" t="n"/>
      <c r="C25" s="7" t="n"/>
      <c r="D25" s="6" t="n"/>
      <c r="E25" s="8" t="n"/>
      <c r="F25" s="8" t="n"/>
      <c r="G25" s="6" t="n"/>
      <c r="H25" s="8">
        <f>IF(G25="",0,(IF(G25="N",((E25+F25)-(E25*J25%))/(1-(I25/100)),IF(G25="S",((E25+F25)/(1-(I25/100))),IF(G25&gt;0,((E25+F25)-(E25*G25))/(1-(I25/100)))))))</f>
        <v/>
      </c>
      <c r="I25" s="9" t="n"/>
      <c r="J25" s="9" t="n"/>
      <c r="K25" s="8">
        <f>H25*I25%</f>
        <v/>
      </c>
      <c r="L25" s="8">
        <f>E25*J25%</f>
        <v/>
      </c>
      <c r="M25" s="8">
        <f>IF(G25="",0,IF(G25="S",H25*((I25-J25)%),IF(G25="N",K25-L25,IF(G25&gt;0,H25*((I25-J25)%)))))</f>
        <v/>
      </c>
      <c r="N25" s="8" t="n"/>
      <c r="O25" s="8">
        <f>M25-N25</f>
        <v/>
      </c>
    </row>
    <row r="26" ht="18" customHeight="1">
      <c r="A26" s="6" t="n"/>
      <c r="B26" s="7" t="n"/>
      <c r="C26" s="7" t="n"/>
      <c r="D26" s="6" t="n"/>
      <c r="E26" s="8" t="n"/>
      <c r="F26" s="8" t="n"/>
      <c r="G26" s="6" t="n"/>
      <c r="H26" s="8">
        <f>IF(G26="",0,(IF(G26="N",((E26+F26)-(E26*J26%))/(1-(I26/100)),IF(G26="S",((E26+F26)/(1-(I26/100))),IF(G26&gt;0,((E26+F26)-(E26*G26))/(1-(I26/100)))))))</f>
        <v/>
      </c>
      <c r="I26" s="9" t="n"/>
      <c r="J26" s="9" t="n"/>
      <c r="K26" s="8">
        <f>H26*I26%</f>
        <v/>
      </c>
      <c r="L26" s="8">
        <f>E26*J26%</f>
        <v/>
      </c>
      <c r="M26" s="8">
        <f>IF(G26="",0,IF(G26="S",H26*((I26-J26)%),IF(G26="N",K26-L26,IF(G26&gt;0,H26*((I26-J26)%)))))</f>
        <v/>
      </c>
      <c r="N26" s="8" t="n"/>
      <c r="O26" s="8">
        <f>M26-N26</f>
        <v/>
      </c>
    </row>
    <row r="27" ht="18" customHeight="1">
      <c r="A27" s="6" t="n"/>
      <c r="B27" s="7" t="n"/>
      <c r="C27" s="7" t="n"/>
      <c r="D27" s="6" t="n"/>
      <c r="E27" s="8" t="n"/>
      <c r="F27" s="8" t="n"/>
      <c r="G27" s="6" t="n"/>
      <c r="H27" s="8">
        <f>IF(G27="",0,(IF(G27="N",((E27+F27)-(E27*J27%))/(1-(I27/100)),IF(G27="S",((E27+F27)/(1-(I27/100))),IF(G27&gt;0,((E27+F27)-(E27*G27))/(1-(I27/100)))))))</f>
        <v/>
      </c>
      <c r="I27" s="9" t="n"/>
      <c r="J27" s="9" t="n"/>
      <c r="K27" s="8">
        <f>H27*I27%</f>
        <v/>
      </c>
      <c r="L27" s="8">
        <f>E27*J27%</f>
        <v/>
      </c>
      <c r="M27" s="8">
        <f>IF(G27="",0,IF(G27="S",H27*((I27-J27)%),IF(G27="N",K27-L27,IF(G27&gt;0,H27*((I27-J27)%)))))</f>
        <v/>
      </c>
      <c r="N27" s="8" t="n"/>
      <c r="O27" s="8">
        <f>M27-N27</f>
        <v/>
      </c>
    </row>
    <row r="28" ht="18" customHeight="1">
      <c r="A28" s="6" t="n"/>
      <c r="B28" s="7" t="n"/>
      <c r="C28" s="7" t="n"/>
      <c r="D28" s="6" t="n"/>
      <c r="E28" s="8" t="n"/>
      <c r="F28" s="8" t="n"/>
      <c r="G28" s="6" t="n"/>
      <c r="H28" s="8">
        <f>IF(G28="",0,(IF(G28="N",((E28+F28)-(E28*J28%))/(1-(I28/100)),IF(G28="S",((E28+F28)/(1-(I28/100))),IF(G28&gt;0,((E28+F28)-(E28*G28))/(1-(I28/100)))))))</f>
        <v/>
      </c>
      <c r="I28" s="9" t="n"/>
      <c r="J28" s="9" t="n"/>
      <c r="K28" s="8">
        <f>H28*I28%</f>
        <v/>
      </c>
      <c r="L28" s="8">
        <f>E28*J28%</f>
        <v/>
      </c>
      <c r="M28" s="8">
        <f>IF(G28="",0,IF(G28="S",H28*((I28-J28)%),IF(G28="N",K28-L28,IF(G28&gt;0,H28*((I28-J28)%)))))</f>
        <v/>
      </c>
      <c r="N28" s="8" t="n"/>
      <c r="O28" s="8">
        <f>M28-N28</f>
        <v/>
      </c>
    </row>
    <row r="29" ht="18" customHeight="1">
      <c r="A29" s="6" t="n"/>
      <c r="B29" s="7" t="n"/>
      <c r="C29" s="7" t="n"/>
      <c r="D29" s="6" t="n"/>
      <c r="E29" s="8" t="n"/>
      <c r="F29" s="8" t="n"/>
      <c r="G29" s="6" t="n"/>
      <c r="H29" s="8">
        <f>IF(G29="",0,(IF(G29="N",((E29+F29)-(E29*J29%))/(1-(I29/100)),IF(G29="S",((E29+F29)/(1-(I29/100))),IF(G29&gt;0,((E29+F29)-(E29*G29))/(1-(I29/100)))))))</f>
        <v/>
      </c>
      <c r="I29" s="9" t="n"/>
      <c r="J29" s="9" t="n"/>
      <c r="K29" s="8">
        <f>H29*I29%</f>
        <v/>
      </c>
      <c r="L29" s="8">
        <f>E29*J29%</f>
        <v/>
      </c>
      <c r="M29" s="8">
        <f>IF(G29="",0,IF(G29="S",H29*((I29-J29)%),IF(G29="N",K29-L29,IF(G29&gt;0,H29*((I29-J29)%)))))</f>
        <v/>
      </c>
      <c r="N29" s="8" t="n"/>
      <c r="O29" s="8">
        <f>M29-N29</f>
        <v/>
      </c>
    </row>
    <row r="30" ht="18" customHeight="1">
      <c r="A30" s="6" t="n"/>
      <c r="B30" s="7" t="n"/>
      <c r="C30" s="7" t="n"/>
      <c r="D30" s="6" t="n"/>
      <c r="E30" s="8" t="n"/>
      <c r="F30" s="8" t="n"/>
      <c r="G30" s="6" t="n"/>
      <c r="H30" s="8">
        <f>IF(G30="",0,(IF(G30="N",((E30+F30)-(E30*J30%))/(1-(I30/100)),IF(G30="S",((E30+F30)/(1-(I30/100))),IF(G30&gt;0,((E30+F30)-(E30*G30))/(1-(I30/100)))))))</f>
        <v/>
      </c>
      <c r="I30" s="9" t="n"/>
      <c r="J30" s="9" t="n"/>
      <c r="K30" s="8">
        <f>H30*I30%</f>
        <v/>
      </c>
      <c r="L30" s="8">
        <f>E30*J30%</f>
        <v/>
      </c>
      <c r="M30" s="8">
        <f>IF(G30="",0,IF(G30="S",H30*((I30-J30)%),IF(G30="N",K30-L30,IF(G30&gt;0,H30*((I30-J30)%)))))</f>
        <v/>
      </c>
      <c r="N30" s="8" t="n"/>
      <c r="O30" s="8">
        <f>M30-N30</f>
        <v/>
      </c>
    </row>
    <row r="31" ht="18" customHeight="1">
      <c r="A31" s="6" t="n"/>
      <c r="B31" s="7" t="n"/>
      <c r="C31" s="7" t="n"/>
      <c r="D31" s="6" t="n"/>
      <c r="E31" s="8" t="n"/>
      <c r="F31" s="8" t="n"/>
      <c r="G31" s="6" t="n"/>
      <c r="H31" s="8">
        <f>IF(G31="",0,(IF(G31="N",((E31+F31)-(E31*J31%))/(1-(I31/100)),IF(G31="S",((E31+F31)/(1-(I31/100))),IF(G31&gt;0,((E31+F31)-(E31*G31))/(1-(I31/100)))))))</f>
        <v/>
      </c>
      <c r="I31" s="9" t="n"/>
      <c r="J31" s="9" t="n"/>
      <c r="K31" s="8">
        <f>H31*I31%</f>
        <v/>
      </c>
      <c r="L31" s="8">
        <f>E31*J31%</f>
        <v/>
      </c>
      <c r="M31" s="8">
        <f>IF(G31="",0,IF(G31="S",H31*((I31-J31)%),IF(G31="N",K31-L31,IF(G31&gt;0,H31*((I31-J31)%)))))</f>
        <v/>
      </c>
      <c r="N31" s="8" t="n"/>
      <c r="O31" s="8">
        <f>M31-N31</f>
        <v/>
      </c>
    </row>
    <row r="32" ht="18" customHeight="1">
      <c r="A32" s="6" t="n"/>
      <c r="B32" s="7" t="n"/>
      <c r="C32" s="7" t="n"/>
      <c r="D32" s="6" t="n"/>
      <c r="E32" s="8" t="n"/>
      <c r="F32" s="8" t="n"/>
      <c r="G32" s="6" t="n"/>
      <c r="H32" s="8">
        <f>IF(G32="",0,(IF(G32="N",((E32+F32)-(E32*J32%))/(1-(I32/100)),IF(G32="S",((E32+F32)/(1-(I32/100))),IF(G32&gt;0,((E32+F32)-(E32*G32))/(1-(I32/100)))))))</f>
        <v/>
      </c>
      <c r="I32" s="9" t="n"/>
      <c r="J32" s="9" t="n"/>
      <c r="K32" s="8">
        <f>H32*I32%</f>
        <v/>
      </c>
      <c r="L32" s="8">
        <f>E32*J32%</f>
        <v/>
      </c>
      <c r="M32" s="8">
        <f>IF(G32="",0,IF(G32="S",H32*((I32-J32)%),IF(G32="N",K32-L32,IF(G32&gt;0,H32*((I32-J32)%)))))</f>
        <v/>
      </c>
      <c r="N32" s="8" t="n"/>
      <c r="O32" s="8">
        <f>M32-N32</f>
        <v/>
      </c>
    </row>
    <row r="33" ht="18" customHeight="1">
      <c r="A33" s="6" t="n"/>
      <c r="B33" s="7" t="n"/>
      <c r="C33" s="7" t="n"/>
      <c r="D33" s="6" t="n"/>
      <c r="E33" s="8" t="n"/>
      <c r="F33" s="8" t="n"/>
      <c r="G33" s="6" t="n"/>
      <c r="H33" s="8">
        <f>IF(G33="",0,(IF(G33="N",((E33+F33)-(E33*J33%))/(1-(I33/100)),IF(G33="S",((E33+F33)/(1-(I33/100))),IF(G33&gt;0,((E33+F33)-(E33*G33))/(1-(I33/100)))))))</f>
        <v/>
      </c>
      <c r="I33" s="9" t="n"/>
      <c r="J33" s="9" t="n"/>
      <c r="K33" s="8">
        <f>H33*I33%</f>
        <v/>
      </c>
      <c r="L33" s="8">
        <f>E33*J33%</f>
        <v/>
      </c>
      <c r="M33" s="8">
        <f>IF(G33="",0,IF(G33="S",H33*((I33-J33)%),IF(G33="N",K33-L33,IF(G33&gt;0,H33*((I33-J33)%)))))</f>
        <v/>
      </c>
      <c r="N33" s="8" t="n"/>
      <c r="O33" s="8">
        <f>M33-N33</f>
        <v/>
      </c>
    </row>
    <row r="34" ht="18" customHeight="1">
      <c r="A34" s="6" t="n"/>
      <c r="B34" s="7" t="n"/>
      <c r="C34" s="7" t="n"/>
      <c r="D34" s="6" t="n"/>
      <c r="E34" s="8" t="n"/>
      <c r="F34" s="8" t="n"/>
      <c r="G34" s="6" t="n"/>
      <c r="H34" s="8">
        <f>IF(G34="",0,(IF(G34="N",((E34+F34)-(E34*J34%))/(1-(I34/100)),IF(G34="S",((E34+F34)/(1-(I34/100))),IF(G34&gt;0,((E34+F34)-(E34*G34))/(1-(I34/100)))))))</f>
        <v/>
      </c>
      <c r="I34" s="9" t="n"/>
      <c r="J34" s="9" t="n"/>
      <c r="K34" s="8">
        <f>H34*I34%</f>
        <v/>
      </c>
      <c r="L34" s="8">
        <f>E34*J34%</f>
        <v/>
      </c>
      <c r="M34" s="8">
        <f>IF(G34="",0,IF(G34="S",H34*((I34-J34)%),IF(G34="N",K34-L34,IF(G34&gt;0,H34*((I34-J34)%)))))</f>
        <v/>
      </c>
      <c r="N34" s="8" t="n"/>
      <c r="O34" s="8">
        <f>M34-N34</f>
        <v/>
      </c>
    </row>
    <row r="35" ht="18" customHeight="1">
      <c r="A35" s="6" t="n"/>
      <c r="B35" s="7" t="n"/>
      <c r="C35" s="7" t="n"/>
      <c r="D35" s="6" t="n"/>
      <c r="E35" s="8" t="n"/>
      <c r="F35" s="8" t="n"/>
      <c r="G35" s="6" t="n"/>
      <c r="H35" s="8">
        <f>IF(G35="",0,(IF(G35="N",((E35+F35)-(E35*J35%))/(1-(I35/100)),IF(G35="S",((E35+F35)/(1-(I35/100))),IF(G35&gt;0,((E35+F35)-(E35*G35))/(1-(I35/100)))))))</f>
        <v/>
      </c>
      <c r="I35" s="9" t="n"/>
      <c r="J35" s="9" t="n"/>
      <c r="K35" s="8">
        <f>H35*I35%</f>
        <v/>
      </c>
      <c r="L35" s="8">
        <f>E35*J35%</f>
        <v/>
      </c>
      <c r="M35" s="8">
        <f>IF(G35="",0,IF(G35="S",H35*((I35-J35)%),IF(G35="N",K35-L35,IF(G35&gt;0,H35*((I35-J35)%)))))</f>
        <v/>
      </c>
      <c r="N35" s="8" t="n"/>
      <c r="O35" s="8">
        <f>M35-N35</f>
        <v/>
      </c>
    </row>
    <row r="36" ht="18" customHeight="1">
      <c r="A36" s="6" t="n"/>
      <c r="B36" s="7" t="n"/>
      <c r="C36" s="7" t="n"/>
      <c r="D36" s="6" t="n"/>
      <c r="E36" s="8" t="n"/>
      <c r="F36" s="8" t="n"/>
      <c r="G36" s="6" t="n"/>
      <c r="H36" s="8">
        <f>IF(G36="",0,(IF(G36="N",((E36+F36)-(E36*J36%))/(1-(I36/100)),IF(G36="S",((E36+F36)/(1-(I36/100))),IF(G36&gt;0,((E36+F36)-(E36*G36))/(1-(I36/100)))))))</f>
        <v/>
      </c>
      <c r="I36" s="9" t="n"/>
      <c r="J36" s="9" t="n"/>
      <c r="K36" s="8">
        <f>H36*I36%</f>
        <v/>
      </c>
      <c r="L36" s="8">
        <f>E36*J36%</f>
        <v/>
      </c>
      <c r="M36" s="8">
        <f>IF(G36="",0,IF(G36="S",H36*((I36-J36)%),IF(G36="N",K36-L36,IF(G36&gt;0,H36*((I36-J36)%)))))</f>
        <v/>
      </c>
      <c r="N36" s="8" t="n"/>
      <c r="O36" s="8">
        <f>M36-N36</f>
        <v/>
      </c>
    </row>
    <row r="37" ht="18" customHeight="1">
      <c r="A37" s="6" t="n"/>
      <c r="B37" s="7" t="n"/>
      <c r="C37" s="7" t="n"/>
      <c r="D37" s="6" t="n"/>
      <c r="E37" s="8" t="n"/>
      <c r="F37" s="8" t="n"/>
      <c r="G37" s="6" t="n"/>
      <c r="H37" s="8">
        <f>IF(G37="",0,(IF(G37="N",((E37+F37)-(E37*J37%))/(1-(I37/100)),IF(G37="S",((E37+F37)/(1-(I37/100))),IF(G37&gt;0,((E37+F37)-(E37*G37))/(1-(I37/100)))))))</f>
        <v/>
      </c>
      <c r="I37" s="9" t="n"/>
      <c r="J37" s="9" t="n"/>
      <c r="K37" s="8">
        <f>H37*I37%</f>
        <v/>
      </c>
      <c r="L37" s="8">
        <f>E37*J37%</f>
        <v/>
      </c>
      <c r="M37" s="8">
        <f>IF(G37="",0,IF(G37="S",H37*((I37-J37)%),IF(G37="N",K37-L37,IF(G37&gt;0,H37*((I37-J37)%)))))</f>
        <v/>
      </c>
      <c r="N37" s="8" t="n"/>
      <c r="O37" s="8">
        <f>M37-N37</f>
        <v/>
      </c>
    </row>
    <row r="38" ht="18" customHeight="1">
      <c r="A38" s="6" t="n"/>
      <c r="B38" s="7" t="n"/>
      <c r="C38" s="7" t="n"/>
      <c r="D38" s="6" t="n"/>
      <c r="E38" s="8" t="n"/>
      <c r="F38" s="8" t="n"/>
      <c r="G38" s="6" t="n"/>
      <c r="H38" s="8">
        <f>IF(G38="",0,(IF(G38="N",((E38+F38)-(E38*J38%))/(1-(I38/100)),IF(G38="S",((E38+F38)/(1-(I38/100))),IF(G38&gt;0,((E38+F38)-(E38*G38))/(1-(I38/100)))))))</f>
        <v/>
      </c>
      <c r="I38" s="9" t="n"/>
      <c r="J38" s="9" t="n"/>
      <c r="K38" s="8">
        <f>H38*I38%</f>
        <v/>
      </c>
      <c r="L38" s="8">
        <f>E38*J38%</f>
        <v/>
      </c>
      <c r="M38" s="8">
        <f>IF(G38="",0,IF(G38="S",H38*((I38-J38)%),IF(G38="N",K38-L38,IF(G38&gt;0,H38*((I38-J38)%)))))</f>
        <v/>
      </c>
      <c r="N38" s="8" t="n"/>
      <c r="O38" s="8">
        <f>M38-N38</f>
        <v/>
      </c>
    </row>
    <row r="39" ht="20" customHeight="1">
      <c r="A39" s="10" t="n"/>
      <c r="B39" s="10" t="n"/>
      <c r="C39" s="10" t="n"/>
      <c r="D39" s="11" t="inlineStr">
        <is>
          <t>TOTAL</t>
        </is>
      </c>
      <c r="E39" s="12">
        <f>SUM(E4:E38)</f>
        <v/>
      </c>
      <c r="F39" s="12">
        <f>SUM(F4:F38)</f>
        <v/>
      </c>
      <c r="G39" s="10" t="n"/>
      <c r="H39" s="12">
        <f>SUM(H4:H38)</f>
        <v/>
      </c>
      <c r="I39" s="10" t="n"/>
      <c r="J39" s="10" t="n"/>
      <c r="K39" s="12">
        <f>SUM(K4:K38)</f>
        <v/>
      </c>
      <c r="L39" s="12">
        <f>SUM(L4:L38)</f>
        <v/>
      </c>
      <c r="M39" s="12">
        <f>SUM(M4:M38)</f>
        <v/>
      </c>
      <c r="N39" s="12">
        <f>SUM(N4:N38)</f>
        <v/>
      </c>
      <c r="O39" s="12">
        <f>SUM(O4:O38)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cols>
    <col width="4.5" customWidth="1" min="1" max="1"/>
    <col width="13" customWidth="1" min="2" max="2"/>
    <col width="14" customWidth="1" min="3" max="3"/>
    <col width="12" customWidth="1" min="4" max="4"/>
    <col width="15" customWidth="1" min="5" max="5"/>
    <col width="14" customWidth="1" min="6" max="6"/>
    <col width="14" customWidth="1" min="7" max="7"/>
    <col width="15" customWidth="1" min="8" max="8"/>
    <col width="10" customWidth="1" min="9" max="9"/>
    <col width="10" customWidth="1" min="10" max="10"/>
    <col width="15" customWidth="1" min="11" max="11"/>
    <col width="14" customWidth="1" min="12" max="12"/>
    <col width="16" customWidth="1" min="13" max="13"/>
    <col width="14" customWidth="1" min="14" max="14"/>
    <col width="16" customWidth="1" min="15" max="15"/>
  </cols>
  <sheetData>
    <row r="1" ht="24" customHeight="1">
      <c r="E1" s="1" t="inlineStr">
        <is>
          <t>CÁLCULO DIFERENCIAL DE ALÍQUOTA</t>
        </is>
      </c>
      <c r="N1" s="2" t="inlineStr">
        <is>
          <t>Código: RP-158                        Revisão: 00</t>
        </is>
      </c>
    </row>
    <row r="2" ht="20" customHeight="1">
      <c r="A2" s="3" t="inlineStr">
        <is>
          <t>Empresa:                                                                  I.E.:                                 Comp: 08/2026</t>
        </is>
      </c>
    </row>
    <row r="3" ht="28" customHeight="1">
      <c r="A3" s="4" t="inlineStr"/>
      <c r="B3" s="4" t="inlineStr">
        <is>
          <t>DATA ENTRADA</t>
        </is>
      </c>
      <c r="C3" s="4" t="inlineStr">
        <is>
          <t>DATA EMISSÃO</t>
        </is>
      </c>
      <c r="D3" s="4" t="inlineStr">
        <is>
          <t>N.  FISCAL</t>
        </is>
      </c>
      <c r="E3" s="5" t="inlineStr">
        <is>
          <t xml:space="preserve">   V. CONTÁBIL</t>
        </is>
      </c>
      <c r="F3" s="5" t="inlineStr">
        <is>
          <t xml:space="preserve"> IPI + DESP</t>
        </is>
      </c>
      <c r="G3" s="4" t="inlineStr">
        <is>
          <t>ALIQ. SIMPLES</t>
        </is>
      </c>
      <c r="H3" s="5" t="inlineStr">
        <is>
          <t>B.CÁLCULO</t>
        </is>
      </c>
      <c r="I3" s="5" t="inlineStr">
        <is>
          <t xml:space="preserve">  A. DST</t>
        </is>
      </c>
      <c r="J3" s="5" t="inlineStr">
        <is>
          <t xml:space="preserve">  A.ORI</t>
        </is>
      </c>
      <c r="K3" s="5" t="inlineStr">
        <is>
          <t>DÉBITO</t>
        </is>
      </c>
      <c r="L3" s="5" t="inlineStr">
        <is>
          <t>CRÉDITO</t>
        </is>
      </c>
      <c r="M3" s="5" t="inlineStr">
        <is>
          <t>VR.DEVIDO</t>
        </is>
      </c>
      <c r="N3" s="5" t="inlineStr">
        <is>
          <t>VR. PAGO</t>
        </is>
      </c>
      <c r="O3" s="5" t="inlineStr">
        <is>
          <t>DIFER.</t>
        </is>
      </c>
    </row>
    <row r="4" ht="18" customHeight="1">
      <c r="A4" s="6" t="n"/>
      <c r="B4" s="7" t="n"/>
      <c r="C4" s="7" t="n"/>
      <c r="D4" s="6" t="n"/>
      <c r="E4" s="8" t="n"/>
      <c r="F4" s="8" t="n"/>
      <c r="G4" s="6" t="n"/>
      <c r="H4" s="8">
        <f>IF(G4="",0,(IF(G4="N",((E4+F4)-(E4*J4%))/(1-(I4/100)),IF(G4="S",((E4+F4)/(1-(I4/100))),IF(G4&gt;0,((E4+F4)-(E4*G4))/(1-(I4/100)))))))</f>
        <v/>
      </c>
      <c r="I4" s="9" t="n"/>
      <c r="J4" s="9" t="n"/>
      <c r="K4" s="8">
        <f>H4*I4%</f>
        <v/>
      </c>
      <c r="L4" s="8">
        <f>E4*J4%</f>
        <v/>
      </c>
      <c r="M4" s="8">
        <f>IF(G4="",0,IF(G4="S",H4*((I4-J4)%),IF(G4="N",K4-L4,IF(G4&gt;0,H4*((I4-J4)%)))))</f>
        <v/>
      </c>
      <c r="N4" s="8" t="n"/>
      <c r="O4" s="8">
        <f>M4-N4</f>
        <v/>
      </c>
    </row>
    <row r="5" ht="18" customHeight="1">
      <c r="A5" s="6" t="n"/>
      <c r="B5" s="7" t="n"/>
      <c r="C5" s="7" t="n"/>
      <c r="D5" s="6" t="n"/>
      <c r="E5" s="8" t="n"/>
      <c r="F5" s="8" t="n"/>
      <c r="G5" s="6" t="n"/>
      <c r="H5" s="8">
        <f>IF(G5="",0,(IF(G5="N",((E5+F5)-(E5*J5%))/(1-(I5/100)),IF(G5="S",((E5+F5)/(1-(I5/100))),IF(G5&gt;0,((E5+F5)-(E5*G5))/(1-(I5/100)))))))</f>
        <v/>
      </c>
      <c r="I5" s="9" t="n"/>
      <c r="J5" s="9" t="n"/>
      <c r="K5" s="8">
        <f>H5*I5%</f>
        <v/>
      </c>
      <c r="L5" s="8">
        <f>E5*J5%</f>
        <v/>
      </c>
      <c r="M5" s="8">
        <f>IF(G5="",0,IF(G5="S",H5*((I5-J5)%),IF(G5="N",K5-L5,IF(G5&gt;0,H5*((I5-J5)%)))))</f>
        <v/>
      </c>
      <c r="N5" s="8" t="n"/>
      <c r="O5" s="8">
        <f>M5-N5</f>
        <v/>
      </c>
    </row>
    <row r="6" ht="18" customHeight="1">
      <c r="A6" s="6" t="n"/>
      <c r="B6" s="7" t="n"/>
      <c r="C6" s="7" t="n"/>
      <c r="D6" s="6" t="n"/>
      <c r="E6" s="8" t="n"/>
      <c r="F6" s="8" t="n"/>
      <c r="G6" s="6" t="n"/>
      <c r="H6" s="8">
        <f>IF(G6="",0,(IF(G6="N",((E6+F6)-(E6*J6%))/(1-(I6/100)),IF(G6="S",((E6+F6)/(1-(I6/100))),IF(G6&gt;0,((E6+F6)-(E6*G6))/(1-(I6/100)))))))</f>
        <v/>
      </c>
      <c r="I6" s="9" t="n"/>
      <c r="J6" s="9" t="n"/>
      <c r="K6" s="8">
        <f>H6*I6%</f>
        <v/>
      </c>
      <c r="L6" s="8">
        <f>E6*J6%</f>
        <v/>
      </c>
      <c r="M6" s="8">
        <f>IF(G6="",0,IF(G6="S",H6*((I6-J6)%),IF(G6="N",K6-L6,IF(G6&gt;0,H6*((I6-J6)%)))))</f>
        <v/>
      </c>
      <c r="N6" s="8" t="n"/>
      <c r="O6" s="8">
        <f>M6-N6</f>
        <v/>
      </c>
    </row>
    <row r="7" ht="18" customHeight="1">
      <c r="A7" s="6" t="n"/>
      <c r="B7" s="7" t="n"/>
      <c r="C7" s="7" t="n"/>
      <c r="D7" s="6" t="n"/>
      <c r="E7" s="8" t="n"/>
      <c r="F7" s="8" t="n"/>
      <c r="G7" s="6" t="n"/>
      <c r="H7" s="8">
        <f>IF(G7="",0,(IF(G7="N",((E7+F7)-(E7*J7%))/(1-(I7/100)),IF(G7="S",((E7+F7)/(1-(I7/100))),IF(G7&gt;0,((E7+F7)-(E7*G7))/(1-(I7/100)))))))</f>
        <v/>
      </c>
      <c r="I7" s="9" t="n"/>
      <c r="J7" s="9" t="n"/>
      <c r="K7" s="8">
        <f>H7*I7%</f>
        <v/>
      </c>
      <c r="L7" s="8">
        <f>E7*J7%</f>
        <v/>
      </c>
      <c r="M7" s="8">
        <f>IF(G7="",0,IF(G7="S",H7*((I7-J7)%),IF(G7="N",K7-L7,IF(G7&gt;0,H7*((I7-J7)%)))))</f>
        <v/>
      </c>
      <c r="N7" s="8" t="n"/>
      <c r="O7" s="8">
        <f>M7-N7</f>
        <v/>
      </c>
    </row>
    <row r="8" ht="18" customHeight="1">
      <c r="A8" s="6" t="n"/>
      <c r="B8" s="7" t="n"/>
      <c r="C8" s="7" t="n"/>
      <c r="D8" s="6" t="n"/>
      <c r="E8" s="8" t="n"/>
      <c r="F8" s="8" t="n"/>
      <c r="G8" s="6" t="n"/>
      <c r="H8" s="8">
        <f>IF(G8="",0,(IF(G8="N",((E8+F8)-(E8*J8%))/(1-(I8/100)),IF(G8="S",((E8+F8)/(1-(I8/100))),IF(G8&gt;0,((E8+F8)-(E8*G8))/(1-(I8/100)))))))</f>
        <v/>
      </c>
      <c r="I8" s="9" t="n"/>
      <c r="J8" s="9" t="n"/>
      <c r="K8" s="8">
        <f>H8*I8%</f>
        <v/>
      </c>
      <c r="L8" s="8">
        <f>E8*J8%</f>
        <v/>
      </c>
      <c r="M8" s="8">
        <f>IF(G8="",0,IF(G8="S",H8*((I8-J8)%),IF(G8="N",K8-L8,IF(G8&gt;0,H8*((I8-J8)%)))))</f>
        <v/>
      </c>
      <c r="N8" s="8" t="n"/>
      <c r="O8" s="8">
        <f>M8-N8</f>
        <v/>
      </c>
    </row>
    <row r="9" ht="18" customHeight="1">
      <c r="A9" s="6" t="n"/>
      <c r="B9" s="7" t="n"/>
      <c r="C9" s="7" t="n"/>
      <c r="D9" s="6" t="n"/>
      <c r="E9" s="8" t="n"/>
      <c r="F9" s="8" t="n"/>
      <c r="G9" s="6" t="n"/>
      <c r="H9" s="8">
        <f>IF(G9="",0,(IF(G9="N",((E9+F9)-(E9*J9%))/(1-(I9/100)),IF(G9="S",((E9+F9)/(1-(I9/100))),IF(G9&gt;0,((E9+F9)-(E9*G9))/(1-(I9/100)))))))</f>
        <v/>
      </c>
      <c r="I9" s="9" t="n"/>
      <c r="J9" s="9" t="n"/>
      <c r="K9" s="8">
        <f>H9*I9%</f>
        <v/>
      </c>
      <c r="L9" s="8">
        <f>E9*J9%</f>
        <v/>
      </c>
      <c r="M9" s="8">
        <f>IF(G9="",0,IF(G9="S",H9*((I9-J9)%),IF(G9="N",K9-L9,IF(G9&gt;0,H9*((I9-J9)%)))))</f>
        <v/>
      </c>
      <c r="N9" s="8" t="n"/>
      <c r="O9" s="8">
        <f>M9-N9</f>
        <v/>
      </c>
    </row>
    <row r="10" ht="18" customHeight="1">
      <c r="A10" s="6" t="n"/>
      <c r="B10" s="7" t="n"/>
      <c r="C10" s="7" t="n"/>
      <c r="D10" s="6" t="n"/>
      <c r="E10" s="8" t="n"/>
      <c r="F10" s="8" t="n"/>
      <c r="G10" s="6" t="n"/>
      <c r="H10" s="8">
        <f>IF(G10="",0,(IF(G10="N",((E10+F10)-(E10*J10%))/(1-(I10/100)),IF(G10="S",((E10+F10)/(1-(I10/100))),IF(G10&gt;0,((E10+F10)-(E10*G10))/(1-(I10/100)))))))</f>
        <v/>
      </c>
      <c r="I10" s="9" t="n"/>
      <c r="J10" s="9" t="n"/>
      <c r="K10" s="8">
        <f>H10*I10%</f>
        <v/>
      </c>
      <c r="L10" s="8">
        <f>E10*J10%</f>
        <v/>
      </c>
      <c r="M10" s="8">
        <f>IF(G10="",0,IF(G10="S",H10*((I10-J10)%),IF(G10="N",K10-L10,IF(G10&gt;0,H10*((I10-J10)%)))))</f>
        <v/>
      </c>
      <c r="N10" s="8" t="n"/>
      <c r="O10" s="8">
        <f>M10-N10</f>
        <v/>
      </c>
    </row>
    <row r="11" ht="18" customHeight="1">
      <c r="A11" s="6" t="n"/>
      <c r="B11" s="7" t="n"/>
      <c r="C11" s="7" t="n"/>
      <c r="D11" s="6" t="n"/>
      <c r="E11" s="8" t="n"/>
      <c r="F11" s="8" t="n"/>
      <c r="G11" s="6" t="n"/>
      <c r="H11" s="8">
        <f>IF(G11="",0,(IF(G11="N",((E11+F11)-(E11*J11%))/(1-(I11/100)),IF(G11="S",((E11+F11)/(1-(I11/100))),IF(G11&gt;0,((E11+F11)-(E11*G11))/(1-(I11/100)))))))</f>
        <v/>
      </c>
      <c r="I11" s="9" t="n"/>
      <c r="J11" s="9" t="n"/>
      <c r="K11" s="8">
        <f>H11*I11%</f>
        <v/>
      </c>
      <c r="L11" s="8">
        <f>E11*J11%</f>
        <v/>
      </c>
      <c r="M11" s="8">
        <f>IF(G11="",0,IF(G11="S",H11*((I11-J11)%),IF(G11="N",K11-L11,IF(G11&gt;0,H11*((I11-J11)%)))))</f>
        <v/>
      </c>
      <c r="N11" s="8" t="n"/>
      <c r="O11" s="8">
        <f>M11-N11</f>
        <v/>
      </c>
    </row>
    <row r="12" ht="18" customHeight="1">
      <c r="A12" s="6" t="n"/>
      <c r="B12" s="7" t="n"/>
      <c r="C12" s="7" t="n"/>
      <c r="D12" s="6" t="n"/>
      <c r="E12" s="8" t="n"/>
      <c r="F12" s="8" t="n"/>
      <c r="G12" s="6" t="n"/>
      <c r="H12" s="8">
        <f>IF(G12="",0,(IF(G12="N",((E12+F12)-(E12*J12%))/(1-(I12/100)),IF(G12="S",((E12+F12)/(1-(I12/100))),IF(G12&gt;0,((E12+F12)-(E12*G12))/(1-(I12/100)))))))</f>
        <v/>
      </c>
      <c r="I12" s="9" t="n"/>
      <c r="J12" s="9" t="n"/>
      <c r="K12" s="8">
        <f>H12*I12%</f>
        <v/>
      </c>
      <c r="L12" s="8">
        <f>E12*J12%</f>
        <v/>
      </c>
      <c r="M12" s="8">
        <f>IF(G12="",0,IF(G12="S",H12*((I12-J12)%),IF(G12="N",K12-L12,IF(G12&gt;0,H12*((I12-J12)%)))))</f>
        <v/>
      </c>
      <c r="N12" s="8" t="n"/>
      <c r="O12" s="8">
        <f>M12-N12</f>
        <v/>
      </c>
    </row>
    <row r="13" ht="18" customHeight="1">
      <c r="A13" s="6" t="n"/>
      <c r="B13" s="7" t="n"/>
      <c r="C13" s="7" t="n"/>
      <c r="D13" s="6" t="n"/>
      <c r="E13" s="8" t="n"/>
      <c r="F13" s="8" t="n"/>
      <c r="G13" s="6" t="n"/>
      <c r="H13" s="8">
        <f>IF(G13="",0,(IF(G13="N",((E13+F13)-(E13*J13%))/(1-(I13/100)),IF(G13="S",((E13+F13)/(1-(I13/100))),IF(G13&gt;0,((E13+F13)-(E13*G13))/(1-(I13/100)))))))</f>
        <v/>
      </c>
      <c r="I13" s="9" t="n"/>
      <c r="J13" s="9" t="n"/>
      <c r="K13" s="8">
        <f>H13*I13%</f>
        <v/>
      </c>
      <c r="L13" s="8">
        <f>E13*J13%</f>
        <v/>
      </c>
      <c r="M13" s="8">
        <f>IF(G13="",0,IF(G13="S",H13*((I13-J13)%),IF(G13="N",K13-L13,IF(G13&gt;0,H13*((I13-J13)%)))))</f>
        <v/>
      </c>
      <c r="N13" s="8" t="n"/>
      <c r="O13" s="8">
        <f>M13-N13</f>
        <v/>
      </c>
    </row>
    <row r="14" ht="18" customHeight="1">
      <c r="A14" s="6" t="n"/>
      <c r="B14" s="7" t="n"/>
      <c r="C14" s="7" t="n"/>
      <c r="D14" s="6" t="n"/>
      <c r="E14" s="8" t="n"/>
      <c r="F14" s="8" t="n"/>
      <c r="G14" s="6" t="n"/>
      <c r="H14" s="8">
        <f>IF(G14="",0,(IF(G14="N",((E14+F14)-(E14*J14%))/(1-(I14/100)),IF(G14="S",((E14+F14)/(1-(I14/100))),IF(G14&gt;0,((E14+F14)-(E14*G14))/(1-(I14/100)))))))</f>
        <v/>
      </c>
      <c r="I14" s="9" t="n"/>
      <c r="J14" s="9" t="n"/>
      <c r="K14" s="8">
        <f>H14*I14%</f>
        <v/>
      </c>
      <c r="L14" s="8">
        <f>E14*J14%</f>
        <v/>
      </c>
      <c r="M14" s="8">
        <f>IF(G14="",0,IF(G14="S",H14*((I14-J14)%),IF(G14="N",K14-L14,IF(G14&gt;0,H14*((I14-J14)%)))))</f>
        <v/>
      </c>
      <c r="N14" s="8" t="n"/>
      <c r="O14" s="8">
        <f>M14-N14</f>
        <v/>
      </c>
    </row>
    <row r="15" ht="18" customHeight="1">
      <c r="A15" s="6" t="n"/>
      <c r="B15" s="7" t="n"/>
      <c r="C15" s="7" t="n"/>
      <c r="D15" s="6" t="n"/>
      <c r="E15" s="8" t="n"/>
      <c r="F15" s="8" t="n"/>
      <c r="G15" s="6" t="n"/>
      <c r="H15" s="8">
        <f>IF(G15="",0,(IF(G15="N",((E15+F15)-(E15*J15%))/(1-(I15/100)),IF(G15="S",((E15+F15)/(1-(I15/100))),IF(G15&gt;0,((E15+F15)-(E15*G15))/(1-(I15/100)))))))</f>
        <v/>
      </c>
      <c r="I15" s="9" t="n"/>
      <c r="J15" s="9" t="n"/>
      <c r="K15" s="8">
        <f>H15*I15%</f>
        <v/>
      </c>
      <c r="L15" s="8">
        <f>E15*J15%</f>
        <v/>
      </c>
      <c r="M15" s="8">
        <f>IF(G15="",0,IF(G15="S",H15*((I15-J15)%),IF(G15="N",K15-L15,IF(G15&gt;0,H15*((I15-J15)%)))))</f>
        <v/>
      </c>
      <c r="N15" s="8" t="n"/>
      <c r="O15" s="8">
        <f>M15-N15</f>
        <v/>
      </c>
    </row>
    <row r="16" ht="18" customHeight="1">
      <c r="A16" s="6" t="n"/>
      <c r="B16" s="7" t="n"/>
      <c r="C16" s="7" t="n"/>
      <c r="D16" s="6" t="n"/>
      <c r="E16" s="8" t="n"/>
      <c r="F16" s="8" t="n"/>
      <c r="G16" s="6" t="n"/>
      <c r="H16" s="8">
        <f>IF(G16="",0,(IF(G16="N",((E16+F16)-(E16*J16%))/(1-(I16/100)),IF(G16="S",((E16+F16)/(1-(I16/100))),IF(G16&gt;0,((E16+F16)-(E16*G16))/(1-(I16/100)))))))</f>
        <v/>
      </c>
      <c r="I16" s="9" t="n"/>
      <c r="J16" s="9" t="n"/>
      <c r="K16" s="8">
        <f>H16*I16%</f>
        <v/>
      </c>
      <c r="L16" s="8">
        <f>E16*J16%</f>
        <v/>
      </c>
      <c r="M16" s="8">
        <f>IF(G16="",0,IF(G16="S",H16*((I16-J16)%),IF(G16="N",K16-L16,IF(G16&gt;0,H16*((I16-J16)%)))))</f>
        <v/>
      </c>
      <c r="N16" s="8" t="n"/>
      <c r="O16" s="8">
        <f>M16-N16</f>
        <v/>
      </c>
    </row>
    <row r="17" ht="18" customHeight="1">
      <c r="A17" s="6" t="n"/>
      <c r="B17" s="7" t="n"/>
      <c r="C17" s="7" t="n"/>
      <c r="D17" s="6" t="n"/>
      <c r="E17" s="8" t="n"/>
      <c r="F17" s="8" t="n"/>
      <c r="G17" s="6" t="n"/>
      <c r="H17" s="8">
        <f>IF(G17="",0,(IF(G17="N",((E17+F17)-(E17*J17%))/(1-(I17/100)),IF(G17="S",((E17+F17)/(1-(I17/100))),IF(G17&gt;0,((E17+F17)-(E17*G17))/(1-(I17/100)))))))</f>
        <v/>
      </c>
      <c r="I17" s="9" t="n"/>
      <c r="J17" s="9" t="n"/>
      <c r="K17" s="8">
        <f>H17*I17%</f>
        <v/>
      </c>
      <c r="L17" s="8">
        <f>E17*J17%</f>
        <v/>
      </c>
      <c r="M17" s="8">
        <f>IF(G17="",0,IF(G17="S",H17*((I17-J17)%),IF(G17="N",K17-L17,IF(G17&gt;0,H17*((I17-J17)%)))))</f>
        <v/>
      </c>
      <c r="N17" s="8" t="n"/>
      <c r="O17" s="8">
        <f>M17-N17</f>
        <v/>
      </c>
    </row>
    <row r="18" ht="18" customHeight="1">
      <c r="A18" s="6" t="n"/>
      <c r="B18" s="7" t="n"/>
      <c r="C18" s="7" t="n"/>
      <c r="D18" s="6" t="n"/>
      <c r="E18" s="8" t="n"/>
      <c r="F18" s="8" t="n"/>
      <c r="G18" s="6" t="n"/>
      <c r="H18" s="8">
        <f>IF(G18="",0,(IF(G18="N",((E18+F18)-(E18*J18%))/(1-(I18/100)),IF(G18="S",((E18+F18)/(1-(I18/100))),IF(G18&gt;0,((E18+F18)-(E18*G18))/(1-(I18/100)))))))</f>
        <v/>
      </c>
      <c r="I18" s="9" t="n"/>
      <c r="J18" s="9" t="n"/>
      <c r="K18" s="8">
        <f>H18*I18%</f>
        <v/>
      </c>
      <c r="L18" s="8">
        <f>E18*J18%</f>
        <v/>
      </c>
      <c r="M18" s="8">
        <f>IF(G18="",0,IF(G18="S",H18*((I18-J18)%),IF(G18="N",K18-L18,IF(G18&gt;0,H18*((I18-J18)%)))))</f>
        <v/>
      </c>
      <c r="N18" s="8" t="n"/>
      <c r="O18" s="8">
        <f>M18-N18</f>
        <v/>
      </c>
    </row>
    <row r="19" ht="18" customHeight="1">
      <c r="A19" s="6" t="n"/>
      <c r="B19" s="7" t="n"/>
      <c r="C19" s="7" t="n"/>
      <c r="D19" s="6" t="n"/>
      <c r="E19" s="8" t="n"/>
      <c r="F19" s="8" t="n"/>
      <c r="G19" s="6" t="n"/>
      <c r="H19" s="8">
        <f>IF(G19="",0,(IF(G19="N",((E19+F19)-(E19*J19%))/(1-(I19/100)),IF(G19="S",((E19+F19)/(1-(I19/100))),IF(G19&gt;0,((E19+F19)-(E19*G19))/(1-(I19/100)))))))</f>
        <v/>
      </c>
      <c r="I19" s="9" t="n"/>
      <c r="J19" s="9" t="n"/>
      <c r="K19" s="8">
        <f>H19*I19%</f>
        <v/>
      </c>
      <c r="L19" s="8">
        <f>E19*J19%</f>
        <v/>
      </c>
      <c r="M19" s="8">
        <f>IF(G19="",0,IF(G19="S",H19*((I19-J19)%),IF(G19="N",K19-L19,IF(G19&gt;0,H19*((I19-J19)%)))))</f>
        <v/>
      </c>
      <c r="N19" s="8" t="n"/>
      <c r="O19" s="8">
        <f>M19-N19</f>
        <v/>
      </c>
    </row>
    <row r="20" ht="18" customHeight="1">
      <c r="A20" s="6" t="n"/>
      <c r="B20" s="7" t="n"/>
      <c r="C20" s="7" t="n"/>
      <c r="D20" s="6" t="n"/>
      <c r="E20" s="8" t="n"/>
      <c r="F20" s="8" t="n"/>
      <c r="G20" s="6" t="n"/>
      <c r="H20" s="8">
        <f>IF(G20="",0,(IF(G20="N",((E20+F20)-(E20*J20%))/(1-(I20/100)),IF(G20="S",((E20+F20)/(1-(I20/100))),IF(G20&gt;0,((E20+F20)-(E20*G20))/(1-(I20/100)))))))</f>
        <v/>
      </c>
      <c r="I20" s="9" t="n"/>
      <c r="J20" s="9" t="n"/>
      <c r="K20" s="8">
        <f>H20*I20%</f>
        <v/>
      </c>
      <c r="L20" s="8">
        <f>E20*J20%</f>
        <v/>
      </c>
      <c r="M20" s="8">
        <f>IF(G20="",0,IF(G20="S",H20*((I20-J20)%),IF(G20="N",K20-L20,IF(G20&gt;0,H20*((I20-J20)%)))))</f>
        <v/>
      </c>
      <c r="N20" s="8" t="n"/>
      <c r="O20" s="8">
        <f>M20-N20</f>
        <v/>
      </c>
    </row>
    <row r="21" ht="18" customHeight="1">
      <c r="A21" s="6" t="n"/>
      <c r="B21" s="7" t="n"/>
      <c r="C21" s="7" t="n"/>
      <c r="D21" s="6" t="n"/>
      <c r="E21" s="8" t="n"/>
      <c r="F21" s="8" t="n"/>
      <c r="G21" s="6" t="n"/>
      <c r="H21" s="8">
        <f>IF(G21="",0,(IF(G21="N",((E21+F21)-(E21*J21%))/(1-(I21/100)),IF(G21="S",((E21+F21)/(1-(I21/100))),IF(G21&gt;0,((E21+F21)-(E21*G21))/(1-(I21/100)))))))</f>
        <v/>
      </c>
      <c r="I21" s="9" t="n"/>
      <c r="J21" s="9" t="n"/>
      <c r="K21" s="8">
        <f>H21*I21%</f>
        <v/>
      </c>
      <c r="L21" s="8">
        <f>E21*J21%</f>
        <v/>
      </c>
      <c r="M21" s="8">
        <f>IF(G21="",0,IF(G21="S",H21*((I21-J21)%),IF(G21="N",K21-L21,IF(G21&gt;0,H21*((I21-J21)%)))))</f>
        <v/>
      </c>
      <c r="N21" s="8" t="n"/>
      <c r="O21" s="8">
        <f>M21-N21</f>
        <v/>
      </c>
    </row>
    <row r="22" ht="18" customHeight="1">
      <c r="A22" s="6" t="n"/>
      <c r="B22" s="7" t="n"/>
      <c r="C22" s="7" t="n"/>
      <c r="D22" s="6" t="n"/>
      <c r="E22" s="8" t="n"/>
      <c r="F22" s="8" t="n"/>
      <c r="G22" s="6" t="n"/>
      <c r="H22" s="8">
        <f>IF(G22="",0,(IF(G22="N",((E22+F22)-(E22*J22%))/(1-(I22/100)),IF(G22="S",((E22+F22)/(1-(I22/100))),IF(G22&gt;0,((E22+F22)-(E22*G22))/(1-(I22/100)))))))</f>
        <v/>
      </c>
      <c r="I22" s="9" t="n"/>
      <c r="J22" s="9" t="n"/>
      <c r="K22" s="8">
        <f>H22*I22%</f>
        <v/>
      </c>
      <c r="L22" s="8">
        <f>E22*J22%</f>
        <v/>
      </c>
      <c r="M22" s="8">
        <f>IF(G22="",0,IF(G22="S",H22*((I22-J22)%),IF(G22="N",K22-L22,IF(G22&gt;0,H22*((I22-J22)%)))))</f>
        <v/>
      </c>
      <c r="N22" s="8" t="n"/>
      <c r="O22" s="8">
        <f>M22-N22</f>
        <v/>
      </c>
    </row>
    <row r="23" ht="18" customHeight="1">
      <c r="A23" s="6" t="n"/>
      <c r="B23" s="7" t="n"/>
      <c r="C23" s="7" t="n"/>
      <c r="D23" s="6" t="n"/>
      <c r="E23" s="8" t="n"/>
      <c r="F23" s="8" t="n"/>
      <c r="G23" s="6" t="n"/>
      <c r="H23" s="8">
        <f>IF(G23="",0,(IF(G23="N",((E23+F23)-(E23*J23%))/(1-(I23/100)),IF(G23="S",((E23+F23)/(1-(I23/100))),IF(G23&gt;0,((E23+F23)-(E23*G23))/(1-(I23/100)))))))</f>
        <v/>
      </c>
      <c r="I23" s="9" t="n"/>
      <c r="J23" s="9" t="n"/>
      <c r="K23" s="8">
        <f>H23*I23%</f>
        <v/>
      </c>
      <c r="L23" s="8">
        <f>E23*J23%</f>
        <v/>
      </c>
      <c r="M23" s="8">
        <f>IF(G23="",0,IF(G23="S",H23*((I23-J23)%),IF(G23="N",K23-L23,IF(G23&gt;0,H23*((I23-J23)%)))))</f>
        <v/>
      </c>
      <c r="N23" s="8" t="n"/>
      <c r="O23" s="8">
        <f>M23-N23</f>
        <v/>
      </c>
    </row>
    <row r="24" ht="18" customHeight="1">
      <c r="A24" s="6" t="n"/>
      <c r="B24" s="7" t="n"/>
      <c r="C24" s="7" t="n"/>
      <c r="D24" s="6" t="n"/>
      <c r="E24" s="8" t="n"/>
      <c r="F24" s="8" t="n"/>
      <c r="G24" s="6" t="n"/>
      <c r="H24" s="8">
        <f>IF(G24="",0,(IF(G24="N",((E24+F24)-(E24*J24%))/(1-(I24/100)),IF(G24="S",((E24+F24)/(1-(I24/100))),IF(G24&gt;0,((E24+F24)-(E24*G24))/(1-(I24/100)))))))</f>
        <v/>
      </c>
      <c r="I24" s="9" t="n"/>
      <c r="J24" s="9" t="n"/>
      <c r="K24" s="8">
        <f>H24*I24%</f>
        <v/>
      </c>
      <c r="L24" s="8">
        <f>E24*J24%</f>
        <v/>
      </c>
      <c r="M24" s="8">
        <f>IF(G24="",0,IF(G24="S",H24*((I24-J24)%),IF(G24="N",K24-L24,IF(G24&gt;0,H24*((I24-J24)%)))))</f>
        <v/>
      </c>
      <c r="N24" s="8" t="n"/>
      <c r="O24" s="8">
        <f>M24-N24</f>
        <v/>
      </c>
    </row>
    <row r="25" ht="18" customHeight="1">
      <c r="A25" s="6" t="n"/>
      <c r="B25" s="7" t="n"/>
      <c r="C25" s="7" t="n"/>
      <c r="D25" s="6" t="n"/>
      <c r="E25" s="8" t="n"/>
      <c r="F25" s="8" t="n"/>
      <c r="G25" s="6" t="n"/>
      <c r="H25" s="8">
        <f>IF(G25="",0,(IF(G25="N",((E25+F25)-(E25*J25%))/(1-(I25/100)),IF(G25="S",((E25+F25)/(1-(I25/100))),IF(G25&gt;0,((E25+F25)-(E25*G25))/(1-(I25/100)))))))</f>
        <v/>
      </c>
      <c r="I25" s="9" t="n"/>
      <c r="J25" s="9" t="n"/>
      <c r="K25" s="8">
        <f>H25*I25%</f>
        <v/>
      </c>
      <c r="L25" s="8">
        <f>E25*J25%</f>
        <v/>
      </c>
      <c r="M25" s="8">
        <f>IF(G25="",0,IF(G25="S",H25*((I25-J25)%),IF(G25="N",K25-L25,IF(G25&gt;0,H25*((I25-J25)%)))))</f>
        <v/>
      </c>
      <c r="N25" s="8" t="n"/>
      <c r="O25" s="8">
        <f>M25-N25</f>
        <v/>
      </c>
    </row>
    <row r="26" ht="18" customHeight="1">
      <c r="A26" s="6" t="n"/>
      <c r="B26" s="7" t="n"/>
      <c r="C26" s="7" t="n"/>
      <c r="D26" s="6" t="n"/>
      <c r="E26" s="8" t="n"/>
      <c r="F26" s="8" t="n"/>
      <c r="G26" s="6" t="n"/>
      <c r="H26" s="8">
        <f>IF(G26="",0,(IF(G26="N",((E26+F26)-(E26*J26%))/(1-(I26/100)),IF(G26="S",((E26+F26)/(1-(I26/100))),IF(G26&gt;0,((E26+F26)-(E26*G26))/(1-(I26/100)))))))</f>
        <v/>
      </c>
      <c r="I26" s="9" t="n"/>
      <c r="J26" s="9" t="n"/>
      <c r="K26" s="8">
        <f>H26*I26%</f>
        <v/>
      </c>
      <c r="L26" s="8">
        <f>E26*J26%</f>
        <v/>
      </c>
      <c r="M26" s="8">
        <f>IF(G26="",0,IF(G26="S",H26*((I26-J26)%),IF(G26="N",K26-L26,IF(G26&gt;0,H26*((I26-J26)%)))))</f>
        <v/>
      </c>
      <c r="N26" s="8" t="n"/>
      <c r="O26" s="8">
        <f>M26-N26</f>
        <v/>
      </c>
    </row>
    <row r="27" ht="18" customHeight="1">
      <c r="A27" s="6" t="n"/>
      <c r="B27" s="7" t="n"/>
      <c r="C27" s="7" t="n"/>
      <c r="D27" s="6" t="n"/>
      <c r="E27" s="8" t="n"/>
      <c r="F27" s="8" t="n"/>
      <c r="G27" s="6" t="n"/>
      <c r="H27" s="8">
        <f>IF(G27="",0,(IF(G27="N",((E27+F27)-(E27*J27%))/(1-(I27/100)),IF(G27="S",((E27+F27)/(1-(I27/100))),IF(G27&gt;0,((E27+F27)-(E27*G27))/(1-(I27/100)))))))</f>
        <v/>
      </c>
      <c r="I27" s="9" t="n"/>
      <c r="J27" s="9" t="n"/>
      <c r="K27" s="8">
        <f>H27*I27%</f>
        <v/>
      </c>
      <c r="L27" s="8">
        <f>E27*J27%</f>
        <v/>
      </c>
      <c r="M27" s="8">
        <f>IF(G27="",0,IF(G27="S",H27*((I27-J27)%),IF(G27="N",K27-L27,IF(G27&gt;0,H27*((I27-J27)%)))))</f>
        <v/>
      </c>
      <c r="N27" s="8" t="n"/>
      <c r="O27" s="8">
        <f>M27-N27</f>
        <v/>
      </c>
    </row>
    <row r="28" ht="18" customHeight="1">
      <c r="A28" s="6" t="n"/>
      <c r="B28" s="7" t="n"/>
      <c r="C28" s="7" t="n"/>
      <c r="D28" s="6" t="n"/>
      <c r="E28" s="8" t="n"/>
      <c r="F28" s="8" t="n"/>
      <c r="G28" s="6" t="n"/>
      <c r="H28" s="8">
        <f>IF(G28="",0,(IF(G28="N",((E28+F28)-(E28*J28%))/(1-(I28/100)),IF(G28="S",((E28+F28)/(1-(I28/100))),IF(G28&gt;0,((E28+F28)-(E28*G28))/(1-(I28/100)))))))</f>
        <v/>
      </c>
      <c r="I28" s="9" t="n"/>
      <c r="J28" s="9" t="n"/>
      <c r="K28" s="8">
        <f>H28*I28%</f>
        <v/>
      </c>
      <c r="L28" s="8">
        <f>E28*J28%</f>
        <v/>
      </c>
      <c r="M28" s="8">
        <f>IF(G28="",0,IF(G28="S",H28*((I28-J28)%),IF(G28="N",K28-L28,IF(G28&gt;0,H28*((I28-J28)%)))))</f>
        <v/>
      </c>
      <c r="N28" s="8" t="n"/>
      <c r="O28" s="8">
        <f>M28-N28</f>
        <v/>
      </c>
    </row>
    <row r="29" ht="18" customHeight="1">
      <c r="A29" s="6" t="n"/>
      <c r="B29" s="7" t="n"/>
      <c r="C29" s="7" t="n"/>
      <c r="D29" s="6" t="n"/>
      <c r="E29" s="8" t="n"/>
      <c r="F29" s="8" t="n"/>
      <c r="G29" s="6" t="n"/>
      <c r="H29" s="8">
        <f>IF(G29="",0,(IF(G29="N",((E29+F29)-(E29*J29%))/(1-(I29/100)),IF(G29="S",((E29+F29)/(1-(I29/100))),IF(G29&gt;0,((E29+F29)-(E29*G29))/(1-(I29/100)))))))</f>
        <v/>
      </c>
      <c r="I29" s="9" t="n"/>
      <c r="J29" s="9" t="n"/>
      <c r="K29" s="8">
        <f>H29*I29%</f>
        <v/>
      </c>
      <c r="L29" s="8">
        <f>E29*J29%</f>
        <v/>
      </c>
      <c r="M29" s="8">
        <f>IF(G29="",0,IF(G29="S",H29*((I29-J29)%),IF(G29="N",K29-L29,IF(G29&gt;0,H29*((I29-J29)%)))))</f>
        <v/>
      </c>
      <c r="N29" s="8" t="n"/>
      <c r="O29" s="8">
        <f>M29-N29</f>
        <v/>
      </c>
    </row>
    <row r="30" ht="18" customHeight="1">
      <c r="A30" s="6" t="n"/>
      <c r="B30" s="7" t="n"/>
      <c r="C30" s="7" t="n"/>
      <c r="D30" s="6" t="n"/>
      <c r="E30" s="8" t="n"/>
      <c r="F30" s="8" t="n"/>
      <c r="G30" s="6" t="n"/>
      <c r="H30" s="8">
        <f>IF(G30="",0,(IF(G30="N",((E30+F30)-(E30*J30%))/(1-(I30/100)),IF(G30="S",((E30+F30)/(1-(I30/100))),IF(G30&gt;0,((E30+F30)-(E30*G30))/(1-(I30/100)))))))</f>
        <v/>
      </c>
      <c r="I30" s="9" t="n"/>
      <c r="J30" s="9" t="n"/>
      <c r="K30" s="8">
        <f>H30*I30%</f>
        <v/>
      </c>
      <c r="L30" s="8">
        <f>E30*J30%</f>
        <v/>
      </c>
      <c r="M30" s="8">
        <f>IF(G30="",0,IF(G30="S",H30*((I30-J30)%),IF(G30="N",K30-L30,IF(G30&gt;0,H30*((I30-J30)%)))))</f>
        <v/>
      </c>
      <c r="N30" s="8" t="n"/>
      <c r="O30" s="8">
        <f>M30-N30</f>
        <v/>
      </c>
    </row>
    <row r="31" ht="18" customHeight="1">
      <c r="A31" s="6" t="n"/>
      <c r="B31" s="7" t="n"/>
      <c r="C31" s="7" t="n"/>
      <c r="D31" s="6" t="n"/>
      <c r="E31" s="8" t="n"/>
      <c r="F31" s="8" t="n"/>
      <c r="G31" s="6" t="n"/>
      <c r="H31" s="8">
        <f>IF(G31="",0,(IF(G31="N",((E31+F31)-(E31*J31%))/(1-(I31/100)),IF(G31="S",((E31+F31)/(1-(I31/100))),IF(G31&gt;0,((E31+F31)-(E31*G31))/(1-(I31/100)))))))</f>
        <v/>
      </c>
      <c r="I31" s="9" t="n"/>
      <c r="J31" s="9" t="n"/>
      <c r="K31" s="8">
        <f>H31*I31%</f>
        <v/>
      </c>
      <c r="L31" s="8">
        <f>E31*J31%</f>
        <v/>
      </c>
      <c r="M31" s="8">
        <f>IF(G31="",0,IF(G31="S",H31*((I31-J31)%),IF(G31="N",K31-L31,IF(G31&gt;0,H31*((I31-J31)%)))))</f>
        <v/>
      </c>
      <c r="N31" s="8" t="n"/>
      <c r="O31" s="8">
        <f>M31-N31</f>
        <v/>
      </c>
    </row>
    <row r="32" ht="18" customHeight="1">
      <c r="A32" s="6" t="n"/>
      <c r="B32" s="7" t="n"/>
      <c r="C32" s="7" t="n"/>
      <c r="D32" s="6" t="n"/>
      <c r="E32" s="8" t="n"/>
      <c r="F32" s="8" t="n"/>
      <c r="G32" s="6" t="n"/>
      <c r="H32" s="8">
        <f>IF(G32="",0,(IF(G32="N",((E32+F32)-(E32*J32%))/(1-(I32/100)),IF(G32="S",((E32+F32)/(1-(I32/100))),IF(G32&gt;0,((E32+F32)-(E32*G32))/(1-(I32/100)))))))</f>
        <v/>
      </c>
      <c r="I32" s="9" t="n"/>
      <c r="J32" s="9" t="n"/>
      <c r="K32" s="8">
        <f>H32*I32%</f>
        <v/>
      </c>
      <c r="L32" s="8">
        <f>E32*J32%</f>
        <v/>
      </c>
      <c r="M32" s="8">
        <f>IF(G32="",0,IF(G32="S",H32*((I32-J32)%),IF(G32="N",K32-L32,IF(G32&gt;0,H32*((I32-J32)%)))))</f>
        <v/>
      </c>
      <c r="N32" s="8" t="n"/>
      <c r="O32" s="8">
        <f>M32-N32</f>
        <v/>
      </c>
    </row>
    <row r="33" ht="18" customHeight="1">
      <c r="A33" s="6" t="n"/>
      <c r="B33" s="7" t="n"/>
      <c r="C33" s="7" t="n"/>
      <c r="D33" s="6" t="n"/>
      <c r="E33" s="8" t="n"/>
      <c r="F33" s="8" t="n"/>
      <c r="G33" s="6" t="n"/>
      <c r="H33" s="8">
        <f>IF(G33="",0,(IF(G33="N",((E33+F33)-(E33*J33%))/(1-(I33/100)),IF(G33="S",((E33+F33)/(1-(I33/100))),IF(G33&gt;0,((E33+F33)-(E33*G33))/(1-(I33/100)))))))</f>
        <v/>
      </c>
      <c r="I33" s="9" t="n"/>
      <c r="J33" s="9" t="n"/>
      <c r="K33" s="8">
        <f>H33*I33%</f>
        <v/>
      </c>
      <c r="L33" s="8">
        <f>E33*J33%</f>
        <v/>
      </c>
      <c r="M33" s="8">
        <f>IF(G33="",0,IF(G33="S",H33*((I33-J33)%),IF(G33="N",K33-L33,IF(G33&gt;0,H33*((I33-J33)%)))))</f>
        <v/>
      </c>
      <c r="N33" s="8" t="n"/>
      <c r="O33" s="8">
        <f>M33-N33</f>
        <v/>
      </c>
    </row>
    <row r="34" ht="18" customHeight="1">
      <c r="A34" s="6" t="n"/>
      <c r="B34" s="7" t="n"/>
      <c r="C34" s="7" t="n"/>
      <c r="D34" s="6" t="n"/>
      <c r="E34" s="8" t="n"/>
      <c r="F34" s="8" t="n"/>
      <c r="G34" s="6" t="n"/>
      <c r="H34" s="8">
        <f>IF(G34="",0,(IF(G34="N",((E34+F34)-(E34*J34%))/(1-(I34/100)),IF(G34="S",((E34+F34)/(1-(I34/100))),IF(G34&gt;0,((E34+F34)-(E34*G34))/(1-(I34/100)))))))</f>
        <v/>
      </c>
      <c r="I34" s="9" t="n"/>
      <c r="J34" s="9" t="n"/>
      <c r="K34" s="8">
        <f>H34*I34%</f>
        <v/>
      </c>
      <c r="L34" s="8">
        <f>E34*J34%</f>
        <v/>
      </c>
      <c r="M34" s="8">
        <f>IF(G34="",0,IF(G34="S",H34*((I34-J34)%),IF(G34="N",K34-L34,IF(G34&gt;0,H34*((I34-J34)%)))))</f>
        <v/>
      </c>
      <c r="N34" s="8" t="n"/>
      <c r="O34" s="8">
        <f>M34-N34</f>
        <v/>
      </c>
    </row>
    <row r="35" ht="18" customHeight="1">
      <c r="A35" s="6" t="n"/>
      <c r="B35" s="7" t="n"/>
      <c r="C35" s="7" t="n"/>
      <c r="D35" s="6" t="n"/>
      <c r="E35" s="8" t="n"/>
      <c r="F35" s="8" t="n"/>
      <c r="G35" s="6" t="n"/>
      <c r="H35" s="8">
        <f>IF(G35="",0,(IF(G35="N",((E35+F35)-(E35*J35%))/(1-(I35/100)),IF(G35="S",((E35+F35)/(1-(I35/100))),IF(G35&gt;0,((E35+F35)-(E35*G35))/(1-(I35/100)))))))</f>
        <v/>
      </c>
      <c r="I35" s="9" t="n"/>
      <c r="J35" s="9" t="n"/>
      <c r="K35" s="8">
        <f>H35*I35%</f>
        <v/>
      </c>
      <c r="L35" s="8">
        <f>E35*J35%</f>
        <v/>
      </c>
      <c r="M35" s="8">
        <f>IF(G35="",0,IF(G35="S",H35*((I35-J35)%),IF(G35="N",K35-L35,IF(G35&gt;0,H35*((I35-J35)%)))))</f>
        <v/>
      </c>
      <c r="N35" s="8" t="n"/>
      <c r="O35" s="8">
        <f>M35-N35</f>
        <v/>
      </c>
    </row>
    <row r="36" ht="18" customHeight="1">
      <c r="A36" s="6" t="n"/>
      <c r="B36" s="7" t="n"/>
      <c r="C36" s="7" t="n"/>
      <c r="D36" s="6" t="n"/>
      <c r="E36" s="8" t="n"/>
      <c r="F36" s="8" t="n"/>
      <c r="G36" s="6" t="n"/>
      <c r="H36" s="8">
        <f>IF(G36="",0,(IF(G36="N",((E36+F36)-(E36*J36%))/(1-(I36/100)),IF(G36="S",((E36+F36)/(1-(I36/100))),IF(G36&gt;0,((E36+F36)-(E36*G36))/(1-(I36/100)))))))</f>
        <v/>
      </c>
      <c r="I36" s="9" t="n"/>
      <c r="J36" s="9" t="n"/>
      <c r="K36" s="8">
        <f>H36*I36%</f>
        <v/>
      </c>
      <c r="L36" s="8">
        <f>E36*J36%</f>
        <v/>
      </c>
      <c r="M36" s="8">
        <f>IF(G36="",0,IF(G36="S",H36*((I36-J36)%),IF(G36="N",K36-L36,IF(G36&gt;0,H36*((I36-J36)%)))))</f>
        <v/>
      </c>
      <c r="N36" s="8" t="n"/>
      <c r="O36" s="8">
        <f>M36-N36</f>
        <v/>
      </c>
    </row>
    <row r="37" ht="18" customHeight="1">
      <c r="A37" s="6" t="n"/>
      <c r="B37" s="7" t="n"/>
      <c r="C37" s="7" t="n"/>
      <c r="D37" s="6" t="n"/>
      <c r="E37" s="8" t="n"/>
      <c r="F37" s="8" t="n"/>
      <c r="G37" s="6" t="n"/>
      <c r="H37" s="8">
        <f>IF(G37="",0,(IF(G37="N",((E37+F37)-(E37*J37%))/(1-(I37/100)),IF(G37="S",((E37+F37)/(1-(I37/100))),IF(G37&gt;0,((E37+F37)-(E37*G37))/(1-(I37/100)))))))</f>
        <v/>
      </c>
      <c r="I37" s="9" t="n"/>
      <c r="J37" s="9" t="n"/>
      <c r="K37" s="8">
        <f>H37*I37%</f>
        <v/>
      </c>
      <c r="L37" s="8">
        <f>E37*J37%</f>
        <v/>
      </c>
      <c r="M37" s="8">
        <f>IF(G37="",0,IF(G37="S",H37*((I37-J37)%),IF(G37="N",K37-L37,IF(G37&gt;0,H37*((I37-J37)%)))))</f>
        <v/>
      </c>
      <c r="N37" s="8" t="n"/>
      <c r="O37" s="8">
        <f>M37-N37</f>
        <v/>
      </c>
    </row>
    <row r="38" ht="18" customHeight="1">
      <c r="A38" s="6" t="n"/>
      <c r="B38" s="7" t="n"/>
      <c r="C38" s="7" t="n"/>
      <c r="D38" s="6" t="n"/>
      <c r="E38" s="8" t="n"/>
      <c r="F38" s="8" t="n"/>
      <c r="G38" s="6" t="n"/>
      <c r="H38" s="8">
        <f>IF(G38="",0,(IF(G38="N",((E38+F38)-(E38*J38%))/(1-(I38/100)),IF(G38="S",((E38+F38)/(1-(I38/100))),IF(G38&gt;0,((E38+F38)-(E38*G38))/(1-(I38/100)))))))</f>
        <v/>
      </c>
      <c r="I38" s="9" t="n"/>
      <c r="J38" s="9" t="n"/>
      <c r="K38" s="8">
        <f>H38*I38%</f>
        <v/>
      </c>
      <c r="L38" s="8">
        <f>E38*J38%</f>
        <v/>
      </c>
      <c r="M38" s="8">
        <f>IF(G38="",0,IF(G38="S",H38*((I38-J38)%),IF(G38="N",K38-L38,IF(G38&gt;0,H38*((I38-J38)%)))))</f>
        <v/>
      </c>
      <c r="N38" s="8" t="n"/>
      <c r="O38" s="8">
        <f>M38-N38</f>
        <v/>
      </c>
    </row>
    <row r="39" ht="20" customHeight="1">
      <c r="A39" s="10" t="n"/>
      <c r="B39" s="10" t="n"/>
      <c r="C39" s="10" t="n"/>
      <c r="D39" s="11" t="inlineStr">
        <is>
          <t>TOTAL</t>
        </is>
      </c>
      <c r="E39" s="12">
        <f>SUM(E4:E38)</f>
        <v/>
      </c>
      <c r="F39" s="12">
        <f>SUM(F4:F38)</f>
        <v/>
      </c>
      <c r="G39" s="10" t="n"/>
      <c r="H39" s="12">
        <f>SUM(H4:H38)</f>
        <v/>
      </c>
      <c r="I39" s="10" t="n"/>
      <c r="J39" s="10" t="n"/>
      <c r="K39" s="12">
        <f>SUM(K4:K38)</f>
        <v/>
      </c>
      <c r="L39" s="12">
        <f>SUM(L4:L38)</f>
        <v/>
      </c>
      <c r="M39" s="12">
        <f>SUM(M4:M38)</f>
        <v/>
      </c>
      <c r="N39" s="12">
        <f>SUM(N4:N38)</f>
        <v/>
      </c>
      <c r="O39" s="12">
        <f>SUM(O4:O38)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cols>
    <col width="4.5" customWidth="1" min="1" max="1"/>
    <col width="13" customWidth="1" min="2" max="2"/>
    <col width="14" customWidth="1" min="3" max="3"/>
    <col width="12" customWidth="1" min="4" max="4"/>
    <col width="15" customWidth="1" min="5" max="5"/>
    <col width="14" customWidth="1" min="6" max="6"/>
    <col width="14" customWidth="1" min="7" max="7"/>
    <col width="15" customWidth="1" min="8" max="8"/>
    <col width="10" customWidth="1" min="9" max="9"/>
    <col width="10" customWidth="1" min="10" max="10"/>
    <col width="15" customWidth="1" min="11" max="11"/>
    <col width="14" customWidth="1" min="12" max="12"/>
    <col width="16" customWidth="1" min="13" max="13"/>
    <col width="14" customWidth="1" min="14" max="14"/>
    <col width="16" customWidth="1" min="15" max="15"/>
  </cols>
  <sheetData>
    <row r="1" ht="24" customHeight="1">
      <c r="E1" s="1" t="inlineStr">
        <is>
          <t>CÁLCULO DIFERENCIAL DE ALÍQUOTA</t>
        </is>
      </c>
      <c r="N1" s="2" t="inlineStr">
        <is>
          <t>Código: RP-158                        Revisão: 00</t>
        </is>
      </c>
    </row>
    <row r="2" ht="20" customHeight="1">
      <c r="A2" s="3" t="inlineStr">
        <is>
          <t>Empresa:                                                                  I.E.:                                 Comp: 09/2026</t>
        </is>
      </c>
    </row>
    <row r="3" ht="28" customHeight="1">
      <c r="A3" s="4" t="inlineStr"/>
      <c r="B3" s="4" t="inlineStr">
        <is>
          <t>DATA ENTRADA</t>
        </is>
      </c>
      <c r="C3" s="4" t="inlineStr">
        <is>
          <t>DATA EMISSÃO</t>
        </is>
      </c>
      <c r="D3" s="4" t="inlineStr">
        <is>
          <t>N.  FISCAL</t>
        </is>
      </c>
      <c r="E3" s="5" t="inlineStr">
        <is>
          <t xml:space="preserve">   V. CONTÁBIL</t>
        </is>
      </c>
      <c r="F3" s="5" t="inlineStr">
        <is>
          <t xml:space="preserve"> IPI + DESP</t>
        </is>
      </c>
      <c r="G3" s="4" t="inlineStr">
        <is>
          <t>ALIQ. SIMPLES</t>
        </is>
      </c>
      <c r="H3" s="5" t="inlineStr">
        <is>
          <t>B.CÁLCULO</t>
        </is>
      </c>
      <c r="I3" s="5" t="inlineStr">
        <is>
          <t xml:space="preserve">  A. DST</t>
        </is>
      </c>
      <c r="J3" s="5" t="inlineStr">
        <is>
          <t xml:space="preserve">  A.ORI</t>
        </is>
      </c>
      <c r="K3" s="5" t="inlineStr">
        <is>
          <t>DÉBITO</t>
        </is>
      </c>
      <c r="L3" s="5" t="inlineStr">
        <is>
          <t>CRÉDITO</t>
        </is>
      </c>
      <c r="M3" s="5" t="inlineStr">
        <is>
          <t>VR.DEVIDO</t>
        </is>
      </c>
      <c r="N3" s="5" t="inlineStr">
        <is>
          <t>VR. PAGO</t>
        </is>
      </c>
      <c r="O3" s="5" t="inlineStr">
        <is>
          <t>DIFER.</t>
        </is>
      </c>
    </row>
    <row r="4" ht="18" customHeight="1">
      <c r="A4" s="6" t="n"/>
      <c r="B4" s="7" t="n"/>
      <c r="C4" s="7" t="n"/>
      <c r="D4" s="6" t="n"/>
      <c r="E4" s="8" t="n"/>
      <c r="F4" s="8" t="n"/>
      <c r="G4" s="6" t="n"/>
      <c r="H4" s="8">
        <f>IF(G4="",0,(IF(G4="N",((E4+F4)-(E4*J4%))/(1-(I4/100)),IF(G4="S",((E4+F4)/(1-(I4/100))),IF(G4&gt;0,((E4+F4)-(E4*G4))/(1-(I4/100)))))))</f>
        <v/>
      </c>
      <c r="I4" s="9" t="n"/>
      <c r="J4" s="9" t="n"/>
      <c r="K4" s="8">
        <f>H4*I4%</f>
        <v/>
      </c>
      <c r="L4" s="8">
        <f>E4*J4%</f>
        <v/>
      </c>
      <c r="M4" s="8">
        <f>IF(G4="",0,IF(G4="S",H4*((I4-J4)%),IF(G4="N",K4-L4,IF(G4&gt;0,H4*((I4-J4)%)))))</f>
        <v/>
      </c>
      <c r="N4" s="8" t="n"/>
      <c r="O4" s="8">
        <f>M4-N4</f>
        <v/>
      </c>
    </row>
    <row r="5" ht="18" customHeight="1">
      <c r="A5" s="6" t="n"/>
      <c r="B5" s="7" t="n"/>
      <c r="C5" s="7" t="n"/>
      <c r="D5" s="6" t="n"/>
      <c r="E5" s="8" t="n"/>
      <c r="F5" s="8" t="n"/>
      <c r="G5" s="6" t="n"/>
      <c r="H5" s="8">
        <f>IF(G5="",0,(IF(G5="N",((E5+F5)-(E5*J5%))/(1-(I5/100)),IF(G5="S",((E5+F5)/(1-(I5/100))),IF(G5&gt;0,((E5+F5)-(E5*G5))/(1-(I5/100)))))))</f>
        <v/>
      </c>
      <c r="I5" s="9" t="n"/>
      <c r="J5" s="9" t="n"/>
      <c r="K5" s="8">
        <f>H5*I5%</f>
        <v/>
      </c>
      <c r="L5" s="8">
        <f>E5*J5%</f>
        <v/>
      </c>
      <c r="M5" s="8">
        <f>IF(G5="",0,IF(G5="S",H5*((I5-J5)%),IF(G5="N",K5-L5,IF(G5&gt;0,H5*((I5-J5)%)))))</f>
        <v/>
      </c>
      <c r="N5" s="8" t="n"/>
      <c r="O5" s="8">
        <f>M5-N5</f>
        <v/>
      </c>
    </row>
    <row r="6" ht="18" customHeight="1">
      <c r="A6" s="6" t="n"/>
      <c r="B6" s="7" t="n"/>
      <c r="C6" s="7" t="n"/>
      <c r="D6" s="6" t="n"/>
      <c r="E6" s="8" t="n"/>
      <c r="F6" s="8" t="n"/>
      <c r="G6" s="6" t="n"/>
      <c r="H6" s="8">
        <f>IF(G6="",0,(IF(G6="N",((E6+F6)-(E6*J6%))/(1-(I6/100)),IF(G6="S",((E6+F6)/(1-(I6/100))),IF(G6&gt;0,((E6+F6)-(E6*G6))/(1-(I6/100)))))))</f>
        <v/>
      </c>
      <c r="I6" s="9" t="n"/>
      <c r="J6" s="9" t="n"/>
      <c r="K6" s="8">
        <f>H6*I6%</f>
        <v/>
      </c>
      <c r="L6" s="8">
        <f>E6*J6%</f>
        <v/>
      </c>
      <c r="M6" s="8">
        <f>IF(G6="",0,IF(G6="S",H6*((I6-J6)%),IF(G6="N",K6-L6,IF(G6&gt;0,H6*((I6-J6)%)))))</f>
        <v/>
      </c>
      <c r="N6" s="8" t="n"/>
      <c r="O6" s="8">
        <f>M6-N6</f>
        <v/>
      </c>
    </row>
    <row r="7" ht="18" customHeight="1">
      <c r="A7" s="6" t="n"/>
      <c r="B7" s="7" t="n"/>
      <c r="C7" s="7" t="n"/>
      <c r="D7" s="6" t="n"/>
      <c r="E7" s="8" t="n"/>
      <c r="F7" s="8" t="n"/>
      <c r="G7" s="6" t="n"/>
      <c r="H7" s="8">
        <f>IF(G7="",0,(IF(G7="N",((E7+F7)-(E7*J7%))/(1-(I7/100)),IF(G7="S",((E7+F7)/(1-(I7/100))),IF(G7&gt;0,((E7+F7)-(E7*G7))/(1-(I7/100)))))))</f>
        <v/>
      </c>
      <c r="I7" s="9" t="n"/>
      <c r="J7" s="9" t="n"/>
      <c r="K7" s="8">
        <f>H7*I7%</f>
        <v/>
      </c>
      <c r="L7" s="8">
        <f>E7*J7%</f>
        <v/>
      </c>
      <c r="M7" s="8">
        <f>IF(G7="",0,IF(G7="S",H7*((I7-J7)%),IF(G7="N",K7-L7,IF(G7&gt;0,H7*((I7-J7)%)))))</f>
        <v/>
      </c>
      <c r="N7" s="8" t="n"/>
      <c r="O7" s="8">
        <f>M7-N7</f>
        <v/>
      </c>
    </row>
    <row r="8" ht="18" customHeight="1">
      <c r="A8" s="6" t="n"/>
      <c r="B8" s="7" t="n"/>
      <c r="C8" s="7" t="n"/>
      <c r="D8" s="6" t="n"/>
      <c r="E8" s="8" t="n"/>
      <c r="F8" s="8" t="n"/>
      <c r="G8" s="6" t="n"/>
      <c r="H8" s="8">
        <f>IF(G8="",0,(IF(G8="N",((E8+F8)-(E8*J8%))/(1-(I8/100)),IF(G8="S",((E8+F8)/(1-(I8/100))),IF(G8&gt;0,((E8+F8)-(E8*G8))/(1-(I8/100)))))))</f>
        <v/>
      </c>
      <c r="I8" s="9" t="n"/>
      <c r="J8" s="9" t="n"/>
      <c r="K8" s="8">
        <f>H8*I8%</f>
        <v/>
      </c>
      <c r="L8" s="8">
        <f>E8*J8%</f>
        <v/>
      </c>
      <c r="M8" s="8">
        <f>IF(G8="",0,IF(G8="S",H8*((I8-J8)%),IF(G8="N",K8-L8,IF(G8&gt;0,H8*((I8-J8)%)))))</f>
        <v/>
      </c>
      <c r="N8" s="8" t="n"/>
      <c r="O8" s="8">
        <f>M8-N8</f>
        <v/>
      </c>
    </row>
    <row r="9" ht="18" customHeight="1">
      <c r="A9" s="6" t="n"/>
      <c r="B9" s="7" t="n"/>
      <c r="C9" s="7" t="n"/>
      <c r="D9" s="6" t="n"/>
      <c r="E9" s="8" t="n"/>
      <c r="F9" s="8" t="n"/>
      <c r="G9" s="6" t="n"/>
      <c r="H9" s="8">
        <f>IF(G9="",0,(IF(G9="N",((E9+F9)-(E9*J9%))/(1-(I9/100)),IF(G9="S",((E9+F9)/(1-(I9/100))),IF(G9&gt;0,((E9+F9)-(E9*G9))/(1-(I9/100)))))))</f>
        <v/>
      </c>
      <c r="I9" s="9" t="n"/>
      <c r="J9" s="9" t="n"/>
      <c r="K9" s="8">
        <f>H9*I9%</f>
        <v/>
      </c>
      <c r="L9" s="8">
        <f>E9*J9%</f>
        <v/>
      </c>
      <c r="M9" s="8">
        <f>IF(G9="",0,IF(G9="S",H9*((I9-J9)%),IF(G9="N",K9-L9,IF(G9&gt;0,H9*((I9-J9)%)))))</f>
        <v/>
      </c>
      <c r="N9" s="8" t="n"/>
      <c r="O9" s="8">
        <f>M9-N9</f>
        <v/>
      </c>
    </row>
    <row r="10" ht="18" customHeight="1">
      <c r="A10" s="6" t="n"/>
      <c r="B10" s="7" t="n"/>
      <c r="C10" s="7" t="n"/>
      <c r="D10" s="6" t="n"/>
      <c r="E10" s="8" t="n"/>
      <c r="F10" s="8" t="n"/>
      <c r="G10" s="6" t="n"/>
      <c r="H10" s="8">
        <f>IF(G10="",0,(IF(G10="N",((E10+F10)-(E10*J10%))/(1-(I10/100)),IF(G10="S",((E10+F10)/(1-(I10/100))),IF(G10&gt;0,((E10+F10)-(E10*G10))/(1-(I10/100)))))))</f>
        <v/>
      </c>
      <c r="I10" s="9" t="n"/>
      <c r="J10" s="9" t="n"/>
      <c r="K10" s="8">
        <f>H10*I10%</f>
        <v/>
      </c>
      <c r="L10" s="8">
        <f>E10*J10%</f>
        <v/>
      </c>
      <c r="M10" s="8">
        <f>IF(G10="",0,IF(G10="S",H10*((I10-J10)%),IF(G10="N",K10-L10,IF(G10&gt;0,H10*((I10-J10)%)))))</f>
        <v/>
      </c>
      <c r="N10" s="8" t="n"/>
      <c r="O10" s="8">
        <f>M10-N10</f>
        <v/>
      </c>
    </row>
    <row r="11" ht="18" customHeight="1">
      <c r="A11" s="6" t="n"/>
      <c r="B11" s="7" t="n"/>
      <c r="C11" s="7" t="n"/>
      <c r="D11" s="6" t="n"/>
      <c r="E11" s="8" t="n"/>
      <c r="F11" s="8" t="n"/>
      <c r="G11" s="6" t="n"/>
      <c r="H11" s="8">
        <f>IF(G11="",0,(IF(G11="N",((E11+F11)-(E11*J11%))/(1-(I11/100)),IF(G11="S",((E11+F11)/(1-(I11/100))),IF(G11&gt;0,((E11+F11)-(E11*G11))/(1-(I11/100)))))))</f>
        <v/>
      </c>
      <c r="I11" s="9" t="n"/>
      <c r="J11" s="9" t="n"/>
      <c r="K11" s="8">
        <f>H11*I11%</f>
        <v/>
      </c>
      <c r="L11" s="8">
        <f>E11*J11%</f>
        <v/>
      </c>
      <c r="M11" s="8">
        <f>IF(G11="",0,IF(G11="S",H11*((I11-J11)%),IF(G11="N",K11-L11,IF(G11&gt;0,H11*((I11-J11)%)))))</f>
        <v/>
      </c>
      <c r="N11" s="8" t="n"/>
      <c r="O11" s="8">
        <f>M11-N11</f>
        <v/>
      </c>
    </row>
    <row r="12" ht="18" customHeight="1">
      <c r="A12" s="6" t="n"/>
      <c r="B12" s="7" t="n"/>
      <c r="C12" s="7" t="n"/>
      <c r="D12" s="6" t="n"/>
      <c r="E12" s="8" t="n"/>
      <c r="F12" s="8" t="n"/>
      <c r="G12" s="6" t="n"/>
      <c r="H12" s="8">
        <f>IF(G12="",0,(IF(G12="N",((E12+F12)-(E12*J12%))/(1-(I12/100)),IF(G12="S",((E12+F12)/(1-(I12/100))),IF(G12&gt;0,((E12+F12)-(E12*G12))/(1-(I12/100)))))))</f>
        <v/>
      </c>
      <c r="I12" s="9" t="n"/>
      <c r="J12" s="9" t="n"/>
      <c r="K12" s="8">
        <f>H12*I12%</f>
        <v/>
      </c>
      <c r="L12" s="8">
        <f>E12*J12%</f>
        <v/>
      </c>
      <c r="M12" s="8">
        <f>IF(G12="",0,IF(G12="S",H12*((I12-J12)%),IF(G12="N",K12-L12,IF(G12&gt;0,H12*((I12-J12)%)))))</f>
        <v/>
      </c>
      <c r="N12" s="8" t="n"/>
      <c r="O12" s="8">
        <f>M12-N12</f>
        <v/>
      </c>
    </row>
    <row r="13" ht="18" customHeight="1">
      <c r="A13" s="6" t="n"/>
      <c r="B13" s="7" t="n"/>
      <c r="C13" s="7" t="n"/>
      <c r="D13" s="6" t="n"/>
      <c r="E13" s="8" t="n"/>
      <c r="F13" s="8" t="n"/>
      <c r="G13" s="6" t="n"/>
      <c r="H13" s="8">
        <f>IF(G13="",0,(IF(G13="N",((E13+F13)-(E13*J13%))/(1-(I13/100)),IF(G13="S",((E13+F13)/(1-(I13/100))),IF(G13&gt;0,((E13+F13)-(E13*G13))/(1-(I13/100)))))))</f>
        <v/>
      </c>
      <c r="I13" s="9" t="n"/>
      <c r="J13" s="9" t="n"/>
      <c r="K13" s="8">
        <f>H13*I13%</f>
        <v/>
      </c>
      <c r="L13" s="8">
        <f>E13*J13%</f>
        <v/>
      </c>
      <c r="M13" s="8">
        <f>IF(G13="",0,IF(G13="S",H13*((I13-J13)%),IF(G13="N",K13-L13,IF(G13&gt;0,H13*((I13-J13)%)))))</f>
        <v/>
      </c>
      <c r="N13" s="8" t="n"/>
      <c r="O13" s="8">
        <f>M13-N13</f>
        <v/>
      </c>
    </row>
    <row r="14" ht="18" customHeight="1">
      <c r="A14" s="6" t="n"/>
      <c r="B14" s="7" t="n"/>
      <c r="C14" s="7" t="n"/>
      <c r="D14" s="6" t="n"/>
      <c r="E14" s="8" t="n"/>
      <c r="F14" s="8" t="n"/>
      <c r="G14" s="6" t="n"/>
      <c r="H14" s="8">
        <f>IF(G14="",0,(IF(G14="N",((E14+F14)-(E14*J14%))/(1-(I14/100)),IF(G14="S",((E14+F14)/(1-(I14/100))),IF(G14&gt;0,((E14+F14)-(E14*G14))/(1-(I14/100)))))))</f>
        <v/>
      </c>
      <c r="I14" s="9" t="n"/>
      <c r="J14" s="9" t="n"/>
      <c r="K14" s="8">
        <f>H14*I14%</f>
        <v/>
      </c>
      <c r="L14" s="8">
        <f>E14*J14%</f>
        <v/>
      </c>
      <c r="M14" s="8">
        <f>IF(G14="",0,IF(G14="S",H14*((I14-J14)%),IF(G14="N",K14-L14,IF(G14&gt;0,H14*((I14-J14)%)))))</f>
        <v/>
      </c>
      <c r="N14" s="8" t="n"/>
      <c r="O14" s="8">
        <f>M14-N14</f>
        <v/>
      </c>
    </row>
    <row r="15" ht="18" customHeight="1">
      <c r="A15" s="6" t="n"/>
      <c r="B15" s="7" t="n"/>
      <c r="C15" s="7" t="n"/>
      <c r="D15" s="6" t="n"/>
      <c r="E15" s="8" t="n"/>
      <c r="F15" s="8" t="n"/>
      <c r="G15" s="6" t="n"/>
      <c r="H15" s="8">
        <f>IF(G15="",0,(IF(G15="N",((E15+F15)-(E15*J15%))/(1-(I15/100)),IF(G15="S",((E15+F15)/(1-(I15/100))),IF(G15&gt;0,((E15+F15)-(E15*G15))/(1-(I15/100)))))))</f>
        <v/>
      </c>
      <c r="I15" s="9" t="n"/>
      <c r="J15" s="9" t="n"/>
      <c r="K15" s="8">
        <f>H15*I15%</f>
        <v/>
      </c>
      <c r="L15" s="8">
        <f>E15*J15%</f>
        <v/>
      </c>
      <c r="M15" s="8">
        <f>IF(G15="",0,IF(G15="S",H15*((I15-J15)%),IF(G15="N",K15-L15,IF(G15&gt;0,H15*((I15-J15)%)))))</f>
        <v/>
      </c>
      <c r="N15" s="8" t="n"/>
      <c r="O15" s="8">
        <f>M15-N15</f>
        <v/>
      </c>
    </row>
    <row r="16" ht="18" customHeight="1">
      <c r="A16" s="6" t="n"/>
      <c r="B16" s="7" t="n"/>
      <c r="C16" s="7" t="n"/>
      <c r="D16" s="6" t="n"/>
      <c r="E16" s="8" t="n"/>
      <c r="F16" s="8" t="n"/>
      <c r="G16" s="6" t="n"/>
      <c r="H16" s="8">
        <f>IF(G16="",0,(IF(G16="N",((E16+F16)-(E16*J16%))/(1-(I16/100)),IF(G16="S",((E16+F16)/(1-(I16/100))),IF(G16&gt;0,((E16+F16)-(E16*G16))/(1-(I16/100)))))))</f>
        <v/>
      </c>
      <c r="I16" s="9" t="n"/>
      <c r="J16" s="9" t="n"/>
      <c r="K16" s="8">
        <f>H16*I16%</f>
        <v/>
      </c>
      <c r="L16" s="8">
        <f>E16*J16%</f>
        <v/>
      </c>
      <c r="M16" s="8">
        <f>IF(G16="",0,IF(G16="S",H16*((I16-J16)%),IF(G16="N",K16-L16,IF(G16&gt;0,H16*((I16-J16)%)))))</f>
        <v/>
      </c>
      <c r="N16" s="8" t="n"/>
      <c r="O16" s="8">
        <f>M16-N16</f>
        <v/>
      </c>
    </row>
    <row r="17" ht="18" customHeight="1">
      <c r="A17" s="6" t="n"/>
      <c r="B17" s="7" t="n"/>
      <c r="C17" s="7" t="n"/>
      <c r="D17" s="6" t="n"/>
      <c r="E17" s="8" t="n"/>
      <c r="F17" s="8" t="n"/>
      <c r="G17" s="6" t="n"/>
      <c r="H17" s="8">
        <f>IF(G17="",0,(IF(G17="N",((E17+F17)-(E17*J17%))/(1-(I17/100)),IF(G17="S",((E17+F17)/(1-(I17/100))),IF(G17&gt;0,((E17+F17)-(E17*G17))/(1-(I17/100)))))))</f>
        <v/>
      </c>
      <c r="I17" s="9" t="n"/>
      <c r="J17" s="9" t="n"/>
      <c r="K17" s="8">
        <f>H17*I17%</f>
        <v/>
      </c>
      <c r="L17" s="8">
        <f>E17*J17%</f>
        <v/>
      </c>
      <c r="M17" s="8">
        <f>IF(G17="",0,IF(G17="S",H17*((I17-J17)%),IF(G17="N",K17-L17,IF(G17&gt;0,H17*((I17-J17)%)))))</f>
        <v/>
      </c>
      <c r="N17" s="8" t="n"/>
      <c r="O17" s="8">
        <f>M17-N17</f>
        <v/>
      </c>
    </row>
    <row r="18" ht="18" customHeight="1">
      <c r="A18" s="6" t="n"/>
      <c r="B18" s="7" t="n"/>
      <c r="C18" s="7" t="n"/>
      <c r="D18" s="6" t="n"/>
      <c r="E18" s="8" t="n"/>
      <c r="F18" s="8" t="n"/>
      <c r="G18" s="6" t="n"/>
      <c r="H18" s="8">
        <f>IF(G18="",0,(IF(G18="N",((E18+F18)-(E18*J18%))/(1-(I18/100)),IF(G18="S",((E18+F18)/(1-(I18/100))),IF(G18&gt;0,((E18+F18)-(E18*G18))/(1-(I18/100)))))))</f>
        <v/>
      </c>
      <c r="I18" s="9" t="n"/>
      <c r="J18" s="9" t="n"/>
      <c r="K18" s="8">
        <f>H18*I18%</f>
        <v/>
      </c>
      <c r="L18" s="8">
        <f>E18*J18%</f>
        <v/>
      </c>
      <c r="M18" s="8">
        <f>IF(G18="",0,IF(G18="S",H18*((I18-J18)%),IF(G18="N",K18-L18,IF(G18&gt;0,H18*((I18-J18)%)))))</f>
        <v/>
      </c>
      <c r="N18" s="8" t="n"/>
      <c r="O18" s="8">
        <f>M18-N18</f>
        <v/>
      </c>
    </row>
    <row r="19" ht="18" customHeight="1">
      <c r="A19" s="6" t="n"/>
      <c r="B19" s="7" t="n"/>
      <c r="C19" s="7" t="n"/>
      <c r="D19" s="6" t="n"/>
      <c r="E19" s="8" t="n"/>
      <c r="F19" s="8" t="n"/>
      <c r="G19" s="6" t="n"/>
      <c r="H19" s="8">
        <f>IF(G19="",0,(IF(G19="N",((E19+F19)-(E19*J19%))/(1-(I19/100)),IF(G19="S",((E19+F19)/(1-(I19/100))),IF(G19&gt;0,((E19+F19)-(E19*G19))/(1-(I19/100)))))))</f>
        <v/>
      </c>
      <c r="I19" s="9" t="n"/>
      <c r="J19" s="9" t="n"/>
      <c r="K19" s="8">
        <f>H19*I19%</f>
        <v/>
      </c>
      <c r="L19" s="8">
        <f>E19*J19%</f>
        <v/>
      </c>
      <c r="M19" s="8">
        <f>IF(G19="",0,IF(G19="S",H19*((I19-J19)%),IF(G19="N",K19-L19,IF(G19&gt;0,H19*((I19-J19)%)))))</f>
        <v/>
      </c>
      <c r="N19" s="8" t="n"/>
      <c r="O19" s="8">
        <f>M19-N19</f>
        <v/>
      </c>
    </row>
    <row r="20" ht="18" customHeight="1">
      <c r="A20" s="6" t="n"/>
      <c r="B20" s="7" t="n"/>
      <c r="C20" s="7" t="n"/>
      <c r="D20" s="6" t="n"/>
      <c r="E20" s="8" t="n"/>
      <c r="F20" s="8" t="n"/>
      <c r="G20" s="6" t="n"/>
      <c r="H20" s="8">
        <f>IF(G20="",0,(IF(G20="N",((E20+F20)-(E20*J20%))/(1-(I20/100)),IF(G20="S",((E20+F20)/(1-(I20/100))),IF(G20&gt;0,((E20+F20)-(E20*G20))/(1-(I20/100)))))))</f>
        <v/>
      </c>
      <c r="I20" s="9" t="n"/>
      <c r="J20" s="9" t="n"/>
      <c r="K20" s="8">
        <f>H20*I20%</f>
        <v/>
      </c>
      <c r="L20" s="8">
        <f>E20*J20%</f>
        <v/>
      </c>
      <c r="M20" s="8">
        <f>IF(G20="",0,IF(G20="S",H20*((I20-J20)%),IF(G20="N",K20-L20,IF(G20&gt;0,H20*((I20-J20)%)))))</f>
        <v/>
      </c>
      <c r="N20" s="8" t="n"/>
      <c r="O20" s="8">
        <f>M20-N20</f>
        <v/>
      </c>
    </row>
    <row r="21" ht="18" customHeight="1">
      <c r="A21" s="6" t="n"/>
      <c r="B21" s="7" t="n"/>
      <c r="C21" s="7" t="n"/>
      <c r="D21" s="6" t="n"/>
      <c r="E21" s="8" t="n"/>
      <c r="F21" s="8" t="n"/>
      <c r="G21" s="6" t="n"/>
      <c r="H21" s="8">
        <f>IF(G21="",0,(IF(G21="N",((E21+F21)-(E21*J21%))/(1-(I21/100)),IF(G21="S",((E21+F21)/(1-(I21/100))),IF(G21&gt;0,((E21+F21)-(E21*G21))/(1-(I21/100)))))))</f>
        <v/>
      </c>
      <c r="I21" s="9" t="n"/>
      <c r="J21" s="9" t="n"/>
      <c r="K21" s="8">
        <f>H21*I21%</f>
        <v/>
      </c>
      <c r="L21" s="8">
        <f>E21*J21%</f>
        <v/>
      </c>
      <c r="M21" s="8">
        <f>IF(G21="",0,IF(G21="S",H21*((I21-J21)%),IF(G21="N",K21-L21,IF(G21&gt;0,H21*((I21-J21)%)))))</f>
        <v/>
      </c>
      <c r="N21" s="8" t="n"/>
      <c r="O21" s="8">
        <f>M21-N21</f>
        <v/>
      </c>
    </row>
    <row r="22" ht="18" customHeight="1">
      <c r="A22" s="6" t="n"/>
      <c r="B22" s="7" t="n"/>
      <c r="C22" s="7" t="n"/>
      <c r="D22" s="6" t="n"/>
      <c r="E22" s="8" t="n"/>
      <c r="F22" s="8" t="n"/>
      <c r="G22" s="6" t="n"/>
      <c r="H22" s="8">
        <f>IF(G22="",0,(IF(G22="N",((E22+F22)-(E22*J22%))/(1-(I22/100)),IF(G22="S",((E22+F22)/(1-(I22/100))),IF(G22&gt;0,((E22+F22)-(E22*G22))/(1-(I22/100)))))))</f>
        <v/>
      </c>
      <c r="I22" s="9" t="n"/>
      <c r="J22" s="9" t="n"/>
      <c r="K22" s="8">
        <f>H22*I22%</f>
        <v/>
      </c>
      <c r="L22" s="8">
        <f>E22*J22%</f>
        <v/>
      </c>
      <c r="M22" s="8">
        <f>IF(G22="",0,IF(G22="S",H22*((I22-J22)%),IF(G22="N",K22-L22,IF(G22&gt;0,H22*((I22-J22)%)))))</f>
        <v/>
      </c>
      <c r="N22" s="8" t="n"/>
      <c r="O22" s="8">
        <f>M22-N22</f>
        <v/>
      </c>
    </row>
    <row r="23" ht="18" customHeight="1">
      <c r="A23" s="6" t="n"/>
      <c r="B23" s="7" t="n"/>
      <c r="C23" s="7" t="n"/>
      <c r="D23" s="6" t="n"/>
      <c r="E23" s="8" t="n"/>
      <c r="F23" s="8" t="n"/>
      <c r="G23" s="6" t="n"/>
      <c r="H23" s="8">
        <f>IF(G23="",0,(IF(G23="N",((E23+F23)-(E23*J23%))/(1-(I23/100)),IF(G23="S",((E23+F23)/(1-(I23/100))),IF(G23&gt;0,((E23+F23)-(E23*G23))/(1-(I23/100)))))))</f>
        <v/>
      </c>
      <c r="I23" s="9" t="n"/>
      <c r="J23" s="9" t="n"/>
      <c r="K23" s="8">
        <f>H23*I23%</f>
        <v/>
      </c>
      <c r="L23" s="8">
        <f>E23*J23%</f>
        <v/>
      </c>
      <c r="M23" s="8">
        <f>IF(G23="",0,IF(G23="S",H23*((I23-J23)%),IF(G23="N",K23-L23,IF(G23&gt;0,H23*((I23-J23)%)))))</f>
        <v/>
      </c>
      <c r="N23" s="8" t="n"/>
      <c r="O23" s="8">
        <f>M23-N23</f>
        <v/>
      </c>
    </row>
    <row r="24" ht="18" customHeight="1">
      <c r="A24" s="6" t="n"/>
      <c r="B24" s="7" t="n"/>
      <c r="C24" s="7" t="n"/>
      <c r="D24" s="6" t="n"/>
      <c r="E24" s="8" t="n"/>
      <c r="F24" s="8" t="n"/>
      <c r="G24" s="6" t="n"/>
      <c r="H24" s="8">
        <f>IF(G24="",0,(IF(G24="N",((E24+F24)-(E24*J24%))/(1-(I24/100)),IF(G24="S",((E24+F24)/(1-(I24/100))),IF(G24&gt;0,((E24+F24)-(E24*G24))/(1-(I24/100)))))))</f>
        <v/>
      </c>
      <c r="I24" s="9" t="n"/>
      <c r="J24" s="9" t="n"/>
      <c r="K24" s="8">
        <f>H24*I24%</f>
        <v/>
      </c>
      <c r="L24" s="8">
        <f>E24*J24%</f>
        <v/>
      </c>
      <c r="M24" s="8">
        <f>IF(G24="",0,IF(G24="S",H24*((I24-J24)%),IF(G24="N",K24-L24,IF(G24&gt;0,H24*((I24-J24)%)))))</f>
        <v/>
      </c>
      <c r="N24" s="8" t="n"/>
      <c r="O24" s="8">
        <f>M24-N24</f>
        <v/>
      </c>
    </row>
    <row r="25" ht="18" customHeight="1">
      <c r="A25" s="6" t="n"/>
      <c r="B25" s="7" t="n"/>
      <c r="C25" s="7" t="n"/>
      <c r="D25" s="6" t="n"/>
      <c r="E25" s="8" t="n"/>
      <c r="F25" s="8" t="n"/>
      <c r="G25" s="6" t="n"/>
      <c r="H25" s="8">
        <f>IF(G25="",0,(IF(G25="N",((E25+F25)-(E25*J25%))/(1-(I25/100)),IF(G25="S",((E25+F25)/(1-(I25/100))),IF(G25&gt;0,((E25+F25)-(E25*G25))/(1-(I25/100)))))))</f>
        <v/>
      </c>
      <c r="I25" s="9" t="n"/>
      <c r="J25" s="9" t="n"/>
      <c r="K25" s="8">
        <f>H25*I25%</f>
        <v/>
      </c>
      <c r="L25" s="8">
        <f>E25*J25%</f>
        <v/>
      </c>
      <c r="M25" s="8">
        <f>IF(G25="",0,IF(G25="S",H25*((I25-J25)%),IF(G25="N",K25-L25,IF(G25&gt;0,H25*((I25-J25)%)))))</f>
        <v/>
      </c>
      <c r="N25" s="8" t="n"/>
      <c r="O25" s="8">
        <f>M25-N25</f>
        <v/>
      </c>
    </row>
    <row r="26" ht="18" customHeight="1">
      <c r="A26" s="6" t="n"/>
      <c r="B26" s="7" t="n"/>
      <c r="C26" s="7" t="n"/>
      <c r="D26" s="6" t="n"/>
      <c r="E26" s="8" t="n"/>
      <c r="F26" s="8" t="n"/>
      <c r="G26" s="6" t="n"/>
      <c r="H26" s="8">
        <f>IF(G26="",0,(IF(G26="N",((E26+F26)-(E26*J26%))/(1-(I26/100)),IF(G26="S",((E26+F26)/(1-(I26/100))),IF(G26&gt;0,((E26+F26)-(E26*G26))/(1-(I26/100)))))))</f>
        <v/>
      </c>
      <c r="I26" s="9" t="n"/>
      <c r="J26" s="9" t="n"/>
      <c r="K26" s="8">
        <f>H26*I26%</f>
        <v/>
      </c>
      <c r="L26" s="8">
        <f>E26*J26%</f>
        <v/>
      </c>
      <c r="M26" s="8">
        <f>IF(G26="",0,IF(G26="S",H26*((I26-J26)%),IF(G26="N",K26-L26,IF(G26&gt;0,H26*((I26-J26)%)))))</f>
        <v/>
      </c>
      <c r="N26" s="8" t="n"/>
      <c r="O26" s="8">
        <f>M26-N26</f>
        <v/>
      </c>
    </row>
    <row r="27" ht="18" customHeight="1">
      <c r="A27" s="6" t="n"/>
      <c r="B27" s="7" t="n"/>
      <c r="C27" s="7" t="n"/>
      <c r="D27" s="6" t="n"/>
      <c r="E27" s="8" t="n"/>
      <c r="F27" s="8" t="n"/>
      <c r="G27" s="6" t="n"/>
      <c r="H27" s="8">
        <f>IF(G27="",0,(IF(G27="N",((E27+F27)-(E27*J27%))/(1-(I27/100)),IF(G27="S",((E27+F27)/(1-(I27/100))),IF(G27&gt;0,((E27+F27)-(E27*G27))/(1-(I27/100)))))))</f>
        <v/>
      </c>
      <c r="I27" s="9" t="n"/>
      <c r="J27" s="9" t="n"/>
      <c r="K27" s="8">
        <f>H27*I27%</f>
        <v/>
      </c>
      <c r="L27" s="8">
        <f>E27*J27%</f>
        <v/>
      </c>
      <c r="M27" s="8">
        <f>IF(G27="",0,IF(G27="S",H27*((I27-J27)%),IF(G27="N",K27-L27,IF(G27&gt;0,H27*((I27-J27)%)))))</f>
        <v/>
      </c>
      <c r="N27" s="8" t="n"/>
      <c r="O27" s="8">
        <f>M27-N27</f>
        <v/>
      </c>
    </row>
    <row r="28" ht="18" customHeight="1">
      <c r="A28" s="6" t="n"/>
      <c r="B28" s="7" t="n"/>
      <c r="C28" s="7" t="n"/>
      <c r="D28" s="6" t="n"/>
      <c r="E28" s="8" t="n"/>
      <c r="F28" s="8" t="n"/>
      <c r="G28" s="6" t="n"/>
      <c r="H28" s="8">
        <f>IF(G28="",0,(IF(G28="N",((E28+F28)-(E28*J28%))/(1-(I28/100)),IF(G28="S",((E28+F28)/(1-(I28/100))),IF(G28&gt;0,((E28+F28)-(E28*G28))/(1-(I28/100)))))))</f>
        <v/>
      </c>
      <c r="I28" s="9" t="n"/>
      <c r="J28" s="9" t="n"/>
      <c r="K28" s="8">
        <f>H28*I28%</f>
        <v/>
      </c>
      <c r="L28" s="8">
        <f>E28*J28%</f>
        <v/>
      </c>
      <c r="M28" s="8">
        <f>IF(G28="",0,IF(G28="S",H28*((I28-J28)%),IF(G28="N",K28-L28,IF(G28&gt;0,H28*((I28-J28)%)))))</f>
        <v/>
      </c>
      <c r="N28" s="8" t="n"/>
      <c r="O28" s="8">
        <f>M28-N28</f>
        <v/>
      </c>
    </row>
    <row r="29" ht="18" customHeight="1">
      <c r="A29" s="6" t="n"/>
      <c r="B29" s="7" t="n"/>
      <c r="C29" s="7" t="n"/>
      <c r="D29" s="6" t="n"/>
      <c r="E29" s="8" t="n"/>
      <c r="F29" s="8" t="n"/>
      <c r="G29" s="6" t="n"/>
      <c r="H29" s="8">
        <f>IF(G29="",0,(IF(G29="N",((E29+F29)-(E29*J29%))/(1-(I29/100)),IF(G29="S",((E29+F29)/(1-(I29/100))),IF(G29&gt;0,((E29+F29)-(E29*G29))/(1-(I29/100)))))))</f>
        <v/>
      </c>
      <c r="I29" s="9" t="n"/>
      <c r="J29" s="9" t="n"/>
      <c r="K29" s="8">
        <f>H29*I29%</f>
        <v/>
      </c>
      <c r="L29" s="8">
        <f>E29*J29%</f>
        <v/>
      </c>
      <c r="M29" s="8">
        <f>IF(G29="",0,IF(G29="S",H29*((I29-J29)%),IF(G29="N",K29-L29,IF(G29&gt;0,H29*((I29-J29)%)))))</f>
        <v/>
      </c>
      <c r="N29" s="8" t="n"/>
      <c r="O29" s="8">
        <f>M29-N29</f>
        <v/>
      </c>
    </row>
    <row r="30" ht="18" customHeight="1">
      <c r="A30" s="6" t="n"/>
      <c r="B30" s="7" t="n"/>
      <c r="C30" s="7" t="n"/>
      <c r="D30" s="6" t="n"/>
      <c r="E30" s="8" t="n"/>
      <c r="F30" s="8" t="n"/>
      <c r="G30" s="6" t="n"/>
      <c r="H30" s="8">
        <f>IF(G30="",0,(IF(G30="N",((E30+F30)-(E30*J30%))/(1-(I30/100)),IF(G30="S",((E30+F30)/(1-(I30/100))),IF(G30&gt;0,((E30+F30)-(E30*G30))/(1-(I30/100)))))))</f>
        <v/>
      </c>
      <c r="I30" s="9" t="n"/>
      <c r="J30" s="9" t="n"/>
      <c r="K30" s="8">
        <f>H30*I30%</f>
        <v/>
      </c>
      <c r="L30" s="8">
        <f>E30*J30%</f>
        <v/>
      </c>
      <c r="M30" s="8">
        <f>IF(G30="",0,IF(G30="S",H30*((I30-J30)%),IF(G30="N",K30-L30,IF(G30&gt;0,H30*((I30-J30)%)))))</f>
        <v/>
      </c>
      <c r="N30" s="8" t="n"/>
      <c r="O30" s="8">
        <f>M30-N30</f>
        <v/>
      </c>
    </row>
    <row r="31" ht="18" customHeight="1">
      <c r="A31" s="6" t="n"/>
      <c r="B31" s="7" t="n"/>
      <c r="C31" s="7" t="n"/>
      <c r="D31" s="6" t="n"/>
      <c r="E31" s="8" t="n"/>
      <c r="F31" s="8" t="n"/>
      <c r="G31" s="6" t="n"/>
      <c r="H31" s="8">
        <f>IF(G31="",0,(IF(G31="N",((E31+F31)-(E31*J31%))/(1-(I31/100)),IF(G31="S",((E31+F31)/(1-(I31/100))),IF(G31&gt;0,((E31+F31)-(E31*G31))/(1-(I31/100)))))))</f>
        <v/>
      </c>
      <c r="I31" s="9" t="n"/>
      <c r="J31" s="9" t="n"/>
      <c r="K31" s="8">
        <f>H31*I31%</f>
        <v/>
      </c>
      <c r="L31" s="8">
        <f>E31*J31%</f>
        <v/>
      </c>
      <c r="M31" s="8">
        <f>IF(G31="",0,IF(G31="S",H31*((I31-J31)%),IF(G31="N",K31-L31,IF(G31&gt;0,H31*((I31-J31)%)))))</f>
        <v/>
      </c>
      <c r="N31" s="8" t="n"/>
      <c r="O31" s="8">
        <f>M31-N31</f>
        <v/>
      </c>
    </row>
    <row r="32" ht="18" customHeight="1">
      <c r="A32" s="6" t="n"/>
      <c r="B32" s="7" t="n"/>
      <c r="C32" s="7" t="n"/>
      <c r="D32" s="6" t="n"/>
      <c r="E32" s="8" t="n"/>
      <c r="F32" s="8" t="n"/>
      <c r="G32" s="6" t="n"/>
      <c r="H32" s="8">
        <f>IF(G32="",0,(IF(G32="N",((E32+F32)-(E32*J32%))/(1-(I32/100)),IF(G32="S",((E32+F32)/(1-(I32/100))),IF(G32&gt;0,((E32+F32)-(E32*G32))/(1-(I32/100)))))))</f>
        <v/>
      </c>
      <c r="I32" s="9" t="n"/>
      <c r="J32" s="9" t="n"/>
      <c r="K32" s="8">
        <f>H32*I32%</f>
        <v/>
      </c>
      <c r="L32" s="8">
        <f>E32*J32%</f>
        <v/>
      </c>
      <c r="M32" s="8">
        <f>IF(G32="",0,IF(G32="S",H32*((I32-J32)%),IF(G32="N",K32-L32,IF(G32&gt;0,H32*((I32-J32)%)))))</f>
        <v/>
      </c>
      <c r="N32" s="8" t="n"/>
      <c r="O32" s="8">
        <f>M32-N32</f>
        <v/>
      </c>
    </row>
    <row r="33" ht="18" customHeight="1">
      <c r="A33" s="6" t="n"/>
      <c r="B33" s="7" t="n"/>
      <c r="C33" s="7" t="n"/>
      <c r="D33" s="6" t="n"/>
      <c r="E33" s="8" t="n"/>
      <c r="F33" s="8" t="n"/>
      <c r="G33" s="6" t="n"/>
      <c r="H33" s="8">
        <f>IF(G33="",0,(IF(G33="N",((E33+F33)-(E33*J33%))/(1-(I33/100)),IF(G33="S",((E33+F33)/(1-(I33/100))),IF(G33&gt;0,((E33+F33)-(E33*G33))/(1-(I33/100)))))))</f>
        <v/>
      </c>
      <c r="I33" s="9" t="n"/>
      <c r="J33" s="9" t="n"/>
      <c r="K33" s="8">
        <f>H33*I33%</f>
        <v/>
      </c>
      <c r="L33" s="8">
        <f>E33*J33%</f>
        <v/>
      </c>
      <c r="M33" s="8">
        <f>IF(G33="",0,IF(G33="S",H33*((I33-J33)%),IF(G33="N",K33-L33,IF(G33&gt;0,H33*((I33-J33)%)))))</f>
        <v/>
      </c>
      <c r="N33" s="8" t="n"/>
      <c r="O33" s="8">
        <f>M33-N33</f>
        <v/>
      </c>
    </row>
    <row r="34" ht="18" customHeight="1">
      <c r="A34" s="6" t="n"/>
      <c r="B34" s="7" t="n"/>
      <c r="C34" s="7" t="n"/>
      <c r="D34" s="6" t="n"/>
      <c r="E34" s="8" t="n"/>
      <c r="F34" s="8" t="n"/>
      <c r="G34" s="6" t="n"/>
      <c r="H34" s="8">
        <f>IF(G34="",0,(IF(G34="N",((E34+F34)-(E34*J34%))/(1-(I34/100)),IF(G34="S",((E34+F34)/(1-(I34/100))),IF(G34&gt;0,((E34+F34)-(E34*G34))/(1-(I34/100)))))))</f>
        <v/>
      </c>
      <c r="I34" s="9" t="n"/>
      <c r="J34" s="9" t="n"/>
      <c r="K34" s="8">
        <f>H34*I34%</f>
        <v/>
      </c>
      <c r="L34" s="8">
        <f>E34*J34%</f>
        <v/>
      </c>
      <c r="M34" s="8">
        <f>IF(G34="",0,IF(G34="S",H34*((I34-J34)%),IF(G34="N",K34-L34,IF(G34&gt;0,H34*((I34-J34)%)))))</f>
        <v/>
      </c>
      <c r="N34" s="8" t="n"/>
      <c r="O34" s="8">
        <f>M34-N34</f>
        <v/>
      </c>
    </row>
    <row r="35" ht="18" customHeight="1">
      <c r="A35" s="6" t="n"/>
      <c r="B35" s="7" t="n"/>
      <c r="C35" s="7" t="n"/>
      <c r="D35" s="6" t="n"/>
      <c r="E35" s="8" t="n"/>
      <c r="F35" s="8" t="n"/>
      <c r="G35" s="6" t="n"/>
      <c r="H35" s="8">
        <f>IF(G35="",0,(IF(G35="N",((E35+F35)-(E35*J35%))/(1-(I35/100)),IF(G35="S",((E35+F35)/(1-(I35/100))),IF(G35&gt;0,((E35+F35)-(E35*G35))/(1-(I35/100)))))))</f>
        <v/>
      </c>
      <c r="I35" s="9" t="n"/>
      <c r="J35" s="9" t="n"/>
      <c r="K35" s="8">
        <f>H35*I35%</f>
        <v/>
      </c>
      <c r="L35" s="8">
        <f>E35*J35%</f>
        <v/>
      </c>
      <c r="M35" s="8">
        <f>IF(G35="",0,IF(G35="S",H35*((I35-J35)%),IF(G35="N",K35-L35,IF(G35&gt;0,H35*((I35-J35)%)))))</f>
        <v/>
      </c>
      <c r="N35" s="8" t="n"/>
      <c r="O35" s="8">
        <f>M35-N35</f>
        <v/>
      </c>
    </row>
    <row r="36" ht="18" customHeight="1">
      <c r="A36" s="6" t="n"/>
      <c r="B36" s="7" t="n"/>
      <c r="C36" s="7" t="n"/>
      <c r="D36" s="6" t="n"/>
      <c r="E36" s="8" t="n"/>
      <c r="F36" s="8" t="n"/>
      <c r="G36" s="6" t="n"/>
      <c r="H36" s="8">
        <f>IF(G36="",0,(IF(G36="N",((E36+F36)-(E36*J36%))/(1-(I36/100)),IF(G36="S",((E36+F36)/(1-(I36/100))),IF(G36&gt;0,((E36+F36)-(E36*G36))/(1-(I36/100)))))))</f>
        <v/>
      </c>
      <c r="I36" s="9" t="n"/>
      <c r="J36" s="9" t="n"/>
      <c r="K36" s="8">
        <f>H36*I36%</f>
        <v/>
      </c>
      <c r="L36" s="8">
        <f>E36*J36%</f>
        <v/>
      </c>
      <c r="M36" s="8">
        <f>IF(G36="",0,IF(G36="S",H36*((I36-J36)%),IF(G36="N",K36-L36,IF(G36&gt;0,H36*((I36-J36)%)))))</f>
        <v/>
      </c>
      <c r="N36" s="8" t="n"/>
      <c r="O36" s="8">
        <f>M36-N36</f>
        <v/>
      </c>
    </row>
    <row r="37" ht="18" customHeight="1">
      <c r="A37" s="6" t="n"/>
      <c r="B37" s="7" t="n"/>
      <c r="C37" s="7" t="n"/>
      <c r="D37" s="6" t="n"/>
      <c r="E37" s="8" t="n"/>
      <c r="F37" s="8" t="n"/>
      <c r="G37" s="6" t="n"/>
      <c r="H37" s="8">
        <f>IF(G37="",0,(IF(G37="N",((E37+F37)-(E37*J37%))/(1-(I37/100)),IF(G37="S",((E37+F37)/(1-(I37/100))),IF(G37&gt;0,((E37+F37)-(E37*G37))/(1-(I37/100)))))))</f>
        <v/>
      </c>
      <c r="I37" s="9" t="n"/>
      <c r="J37" s="9" t="n"/>
      <c r="K37" s="8">
        <f>H37*I37%</f>
        <v/>
      </c>
      <c r="L37" s="8">
        <f>E37*J37%</f>
        <v/>
      </c>
      <c r="M37" s="8">
        <f>IF(G37="",0,IF(G37="S",H37*((I37-J37)%),IF(G37="N",K37-L37,IF(G37&gt;0,H37*((I37-J37)%)))))</f>
        <v/>
      </c>
      <c r="N37" s="8" t="n"/>
      <c r="O37" s="8">
        <f>M37-N37</f>
        <v/>
      </c>
    </row>
    <row r="38" ht="18" customHeight="1">
      <c r="A38" s="6" t="n"/>
      <c r="B38" s="7" t="n"/>
      <c r="C38" s="7" t="n"/>
      <c r="D38" s="6" t="n"/>
      <c r="E38" s="8" t="n"/>
      <c r="F38" s="8" t="n"/>
      <c r="G38" s="6" t="n"/>
      <c r="H38" s="8">
        <f>IF(G38="",0,(IF(G38="N",((E38+F38)-(E38*J38%))/(1-(I38/100)),IF(G38="S",((E38+F38)/(1-(I38/100))),IF(G38&gt;0,((E38+F38)-(E38*G38))/(1-(I38/100)))))))</f>
        <v/>
      </c>
      <c r="I38" s="9" t="n"/>
      <c r="J38" s="9" t="n"/>
      <c r="K38" s="8">
        <f>H38*I38%</f>
        <v/>
      </c>
      <c r="L38" s="8">
        <f>E38*J38%</f>
        <v/>
      </c>
      <c r="M38" s="8">
        <f>IF(G38="",0,IF(G38="S",H38*((I38-J38)%),IF(G38="N",K38-L38,IF(G38&gt;0,H38*((I38-J38)%)))))</f>
        <v/>
      </c>
      <c r="N38" s="8" t="n"/>
      <c r="O38" s="8">
        <f>M38-N38</f>
        <v/>
      </c>
    </row>
    <row r="39" ht="20" customHeight="1">
      <c r="A39" s="10" t="n"/>
      <c r="B39" s="10" t="n"/>
      <c r="C39" s="10" t="n"/>
      <c r="D39" s="11" t="inlineStr">
        <is>
          <t>TOTAL</t>
        </is>
      </c>
      <c r="E39" s="12">
        <f>SUM(E4:E38)</f>
        <v/>
      </c>
      <c r="F39" s="12">
        <f>SUM(F4:F38)</f>
        <v/>
      </c>
      <c r="G39" s="10" t="n"/>
      <c r="H39" s="12">
        <f>SUM(H4:H38)</f>
        <v/>
      </c>
      <c r="I39" s="10" t="n"/>
      <c r="J39" s="10" t="n"/>
      <c r="K39" s="12">
        <f>SUM(K4:K38)</f>
        <v/>
      </c>
      <c r="L39" s="12">
        <f>SUM(L4:L38)</f>
        <v/>
      </c>
      <c r="M39" s="12">
        <f>SUM(M4:M38)</f>
        <v/>
      </c>
      <c r="N39" s="12">
        <f>SUM(N4:N38)</f>
        <v/>
      </c>
      <c r="O39" s="12">
        <f>SUM(O4:O38)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cols>
    <col width="4.5" customWidth="1" min="1" max="1"/>
    <col width="13" customWidth="1" min="2" max="2"/>
    <col width="14" customWidth="1" min="3" max="3"/>
    <col width="12" customWidth="1" min="4" max="4"/>
    <col width="15" customWidth="1" min="5" max="5"/>
    <col width="14" customWidth="1" min="6" max="6"/>
    <col width="14" customWidth="1" min="7" max="7"/>
    <col width="15" customWidth="1" min="8" max="8"/>
    <col width="10" customWidth="1" min="9" max="9"/>
    <col width="10" customWidth="1" min="10" max="10"/>
    <col width="15" customWidth="1" min="11" max="11"/>
    <col width="14" customWidth="1" min="12" max="12"/>
    <col width="16" customWidth="1" min="13" max="13"/>
    <col width="14" customWidth="1" min="14" max="14"/>
    <col width="16" customWidth="1" min="15" max="15"/>
  </cols>
  <sheetData>
    <row r="1" ht="24" customHeight="1">
      <c r="E1" s="1" t="inlineStr">
        <is>
          <t>CÁLCULO DIFERENCIAL DE ALÍQUOTA</t>
        </is>
      </c>
      <c r="N1" s="2" t="inlineStr">
        <is>
          <t>Código: RP-158                        Revisão: 00</t>
        </is>
      </c>
    </row>
    <row r="2" ht="20" customHeight="1">
      <c r="A2" s="3" t="inlineStr">
        <is>
          <t>Empresa:                                                                  I.E.:                                 Comp: 10/2026</t>
        </is>
      </c>
    </row>
    <row r="3" ht="28" customHeight="1">
      <c r="A3" s="4" t="inlineStr"/>
      <c r="B3" s="4" t="inlineStr">
        <is>
          <t>DATA ENTRADA</t>
        </is>
      </c>
      <c r="C3" s="4" t="inlineStr">
        <is>
          <t>DATA EMISSÃO</t>
        </is>
      </c>
      <c r="D3" s="4" t="inlineStr">
        <is>
          <t>N.  FISCAL</t>
        </is>
      </c>
      <c r="E3" s="5" t="inlineStr">
        <is>
          <t xml:space="preserve">   V. CONTÁBIL</t>
        </is>
      </c>
      <c r="F3" s="5" t="inlineStr">
        <is>
          <t xml:space="preserve"> IPI + DESP</t>
        </is>
      </c>
      <c r="G3" s="4" t="inlineStr">
        <is>
          <t>ALIQ. SIMPLES</t>
        </is>
      </c>
      <c r="H3" s="5" t="inlineStr">
        <is>
          <t>B.CÁLCULO</t>
        </is>
      </c>
      <c r="I3" s="5" t="inlineStr">
        <is>
          <t xml:space="preserve">  A. DST</t>
        </is>
      </c>
      <c r="J3" s="5" t="inlineStr">
        <is>
          <t xml:space="preserve">  A.ORI</t>
        </is>
      </c>
      <c r="K3" s="5" t="inlineStr">
        <is>
          <t>DÉBITO</t>
        </is>
      </c>
      <c r="L3" s="5" t="inlineStr">
        <is>
          <t>CRÉDITO</t>
        </is>
      </c>
      <c r="M3" s="5" t="inlineStr">
        <is>
          <t>VR.DEVIDO</t>
        </is>
      </c>
      <c r="N3" s="5" t="inlineStr">
        <is>
          <t>VR. PAGO</t>
        </is>
      </c>
      <c r="O3" s="5" t="inlineStr">
        <is>
          <t>DIFER.</t>
        </is>
      </c>
    </row>
    <row r="4" ht="18" customHeight="1">
      <c r="A4" s="6" t="n"/>
      <c r="B4" s="7" t="n"/>
      <c r="C4" s="7" t="n"/>
      <c r="D4" s="6" t="n"/>
      <c r="E4" s="8" t="n"/>
      <c r="F4" s="8" t="n"/>
      <c r="G4" s="6" t="n"/>
      <c r="H4" s="8">
        <f>IF(G4="",0,(IF(G4="N",((E4+F4)-(E4*J4%))/(1-(I4/100)),IF(G4="S",((E4+F4)/(1-(I4/100))),IF(G4&gt;0,((E4+F4)-(E4*G4))/(1-(I4/100)))))))</f>
        <v/>
      </c>
      <c r="I4" s="9" t="n"/>
      <c r="J4" s="9" t="n"/>
      <c r="K4" s="8">
        <f>H4*I4%</f>
        <v/>
      </c>
      <c r="L4" s="8">
        <f>E4*J4%</f>
        <v/>
      </c>
      <c r="M4" s="8">
        <f>IF(G4="",0,IF(G4="S",H4*((I4-J4)%),IF(G4="N",K4-L4,IF(G4&gt;0,H4*((I4-J4)%)))))</f>
        <v/>
      </c>
      <c r="N4" s="8" t="n"/>
      <c r="O4" s="8">
        <f>M4-N4</f>
        <v/>
      </c>
    </row>
    <row r="5" ht="18" customHeight="1">
      <c r="A5" s="6" t="n"/>
      <c r="B5" s="7" t="n"/>
      <c r="C5" s="7" t="n"/>
      <c r="D5" s="6" t="n"/>
      <c r="E5" s="8" t="n"/>
      <c r="F5" s="8" t="n"/>
      <c r="G5" s="6" t="n"/>
      <c r="H5" s="8">
        <f>IF(G5="",0,(IF(G5="N",((E5+F5)-(E5*J5%))/(1-(I5/100)),IF(G5="S",((E5+F5)/(1-(I5/100))),IF(G5&gt;0,((E5+F5)-(E5*G5))/(1-(I5/100)))))))</f>
        <v/>
      </c>
      <c r="I5" s="9" t="n"/>
      <c r="J5" s="9" t="n"/>
      <c r="K5" s="8">
        <f>H5*I5%</f>
        <v/>
      </c>
      <c r="L5" s="8">
        <f>E5*J5%</f>
        <v/>
      </c>
      <c r="M5" s="8">
        <f>IF(G5="",0,IF(G5="S",H5*((I5-J5)%),IF(G5="N",K5-L5,IF(G5&gt;0,H5*((I5-J5)%)))))</f>
        <v/>
      </c>
      <c r="N5" s="8" t="n"/>
      <c r="O5" s="8">
        <f>M5-N5</f>
        <v/>
      </c>
    </row>
    <row r="6" ht="18" customHeight="1">
      <c r="A6" s="6" t="n"/>
      <c r="B6" s="7" t="n"/>
      <c r="C6" s="7" t="n"/>
      <c r="D6" s="6" t="n"/>
      <c r="E6" s="8" t="n"/>
      <c r="F6" s="8" t="n"/>
      <c r="G6" s="6" t="n"/>
      <c r="H6" s="8">
        <f>IF(G6="",0,(IF(G6="N",((E6+F6)-(E6*J6%))/(1-(I6/100)),IF(G6="S",((E6+F6)/(1-(I6/100))),IF(G6&gt;0,((E6+F6)-(E6*G6))/(1-(I6/100)))))))</f>
        <v/>
      </c>
      <c r="I6" s="9" t="n"/>
      <c r="J6" s="9" t="n"/>
      <c r="K6" s="8">
        <f>H6*I6%</f>
        <v/>
      </c>
      <c r="L6" s="8">
        <f>E6*J6%</f>
        <v/>
      </c>
      <c r="M6" s="8">
        <f>IF(G6="",0,IF(G6="S",H6*((I6-J6)%),IF(G6="N",K6-L6,IF(G6&gt;0,H6*((I6-J6)%)))))</f>
        <v/>
      </c>
      <c r="N6" s="8" t="n"/>
      <c r="O6" s="8">
        <f>M6-N6</f>
        <v/>
      </c>
    </row>
    <row r="7" ht="18" customHeight="1">
      <c r="A7" s="6" t="n"/>
      <c r="B7" s="7" t="n"/>
      <c r="C7" s="7" t="n"/>
      <c r="D7" s="6" t="n"/>
      <c r="E7" s="8" t="n"/>
      <c r="F7" s="8" t="n"/>
      <c r="G7" s="6" t="n"/>
      <c r="H7" s="8">
        <f>IF(G7="",0,(IF(G7="N",((E7+F7)-(E7*J7%))/(1-(I7/100)),IF(G7="S",((E7+F7)/(1-(I7/100))),IF(G7&gt;0,((E7+F7)-(E7*G7))/(1-(I7/100)))))))</f>
        <v/>
      </c>
      <c r="I7" s="9" t="n"/>
      <c r="J7" s="9" t="n"/>
      <c r="K7" s="8">
        <f>H7*I7%</f>
        <v/>
      </c>
      <c r="L7" s="8">
        <f>E7*J7%</f>
        <v/>
      </c>
      <c r="M7" s="8">
        <f>IF(G7="",0,IF(G7="S",H7*((I7-J7)%),IF(G7="N",K7-L7,IF(G7&gt;0,H7*((I7-J7)%)))))</f>
        <v/>
      </c>
      <c r="N7" s="8" t="n"/>
      <c r="O7" s="8">
        <f>M7-N7</f>
        <v/>
      </c>
    </row>
    <row r="8" ht="18" customHeight="1">
      <c r="A8" s="6" t="n"/>
      <c r="B8" s="7" t="n"/>
      <c r="C8" s="7" t="n"/>
      <c r="D8" s="6" t="n"/>
      <c r="E8" s="8" t="n"/>
      <c r="F8" s="8" t="n"/>
      <c r="G8" s="6" t="n"/>
      <c r="H8" s="8">
        <f>IF(G8="",0,(IF(G8="N",((E8+F8)-(E8*J8%))/(1-(I8/100)),IF(G8="S",((E8+F8)/(1-(I8/100))),IF(G8&gt;0,((E8+F8)-(E8*G8))/(1-(I8/100)))))))</f>
        <v/>
      </c>
      <c r="I8" s="9" t="n"/>
      <c r="J8" s="9" t="n"/>
      <c r="K8" s="8">
        <f>H8*I8%</f>
        <v/>
      </c>
      <c r="L8" s="8">
        <f>E8*J8%</f>
        <v/>
      </c>
      <c r="M8" s="8">
        <f>IF(G8="",0,IF(G8="S",H8*((I8-J8)%),IF(G8="N",K8-L8,IF(G8&gt;0,H8*((I8-J8)%)))))</f>
        <v/>
      </c>
      <c r="N8" s="8" t="n"/>
      <c r="O8" s="8">
        <f>M8-N8</f>
        <v/>
      </c>
    </row>
    <row r="9" ht="18" customHeight="1">
      <c r="A9" s="6" t="n"/>
      <c r="B9" s="7" t="n"/>
      <c r="C9" s="7" t="n"/>
      <c r="D9" s="6" t="n"/>
      <c r="E9" s="8" t="n"/>
      <c r="F9" s="8" t="n"/>
      <c r="G9" s="6" t="n"/>
      <c r="H9" s="8">
        <f>IF(G9="",0,(IF(G9="N",((E9+F9)-(E9*J9%))/(1-(I9/100)),IF(G9="S",((E9+F9)/(1-(I9/100))),IF(G9&gt;0,((E9+F9)-(E9*G9))/(1-(I9/100)))))))</f>
        <v/>
      </c>
      <c r="I9" s="9" t="n"/>
      <c r="J9" s="9" t="n"/>
      <c r="K9" s="8">
        <f>H9*I9%</f>
        <v/>
      </c>
      <c r="L9" s="8">
        <f>E9*J9%</f>
        <v/>
      </c>
      <c r="M9" s="8">
        <f>IF(G9="",0,IF(G9="S",H9*((I9-J9)%),IF(G9="N",K9-L9,IF(G9&gt;0,H9*((I9-J9)%)))))</f>
        <v/>
      </c>
      <c r="N9" s="8" t="n"/>
      <c r="O9" s="8">
        <f>M9-N9</f>
        <v/>
      </c>
    </row>
    <row r="10" ht="18" customHeight="1">
      <c r="A10" s="6" t="n"/>
      <c r="B10" s="7" t="n"/>
      <c r="C10" s="7" t="n"/>
      <c r="D10" s="6" t="n"/>
      <c r="E10" s="8" t="n"/>
      <c r="F10" s="8" t="n"/>
      <c r="G10" s="6" t="n"/>
      <c r="H10" s="8">
        <f>IF(G10="",0,(IF(G10="N",((E10+F10)-(E10*J10%))/(1-(I10/100)),IF(G10="S",((E10+F10)/(1-(I10/100))),IF(G10&gt;0,((E10+F10)-(E10*G10))/(1-(I10/100)))))))</f>
        <v/>
      </c>
      <c r="I10" s="9" t="n"/>
      <c r="J10" s="9" t="n"/>
      <c r="K10" s="8">
        <f>H10*I10%</f>
        <v/>
      </c>
      <c r="L10" s="8">
        <f>E10*J10%</f>
        <v/>
      </c>
      <c r="M10" s="8">
        <f>IF(G10="",0,IF(G10="S",H10*((I10-J10)%),IF(G10="N",K10-L10,IF(G10&gt;0,H10*((I10-J10)%)))))</f>
        <v/>
      </c>
      <c r="N10" s="8" t="n"/>
      <c r="O10" s="8">
        <f>M10-N10</f>
        <v/>
      </c>
    </row>
    <row r="11" ht="18" customHeight="1">
      <c r="A11" s="6" t="n"/>
      <c r="B11" s="7" t="n"/>
      <c r="C11" s="7" t="n"/>
      <c r="D11" s="6" t="n"/>
      <c r="E11" s="8" t="n"/>
      <c r="F11" s="8" t="n"/>
      <c r="G11" s="6" t="n"/>
      <c r="H11" s="8">
        <f>IF(G11="",0,(IF(G11="N",((E11+F11)-(E11*J11%))/(1-(I11/100)),IF(G11="S",((E11+F11)/(1-(I11/100))),IF(G11&gt;0,((E11+F11)-(E11*G11))/(1-(I11/100)))))))</f>
        <v/>
      </c>
      <c r="I11" s="9" t="n"/>
      <c r="J11" s="9" t="n"/>
      <c r="K11" s="8">
        <f>H11*I11%</f>
        <v/>
      </c>
      <c r="L11" s="8">
        <f>E11*J11%</f>
        <v/>
      </c>
      <c r="M11" s="8">
        <f>IF(G11="",0,IF(G11="S",H11*((I11-J11)%),IF(G11="N",K11-L11,IF(G11&gt;0,H11*((I11-J11)%)))))</f>
        <v/>
      </c>
      <c r="N11" s="8" t="n"/>
      <c r="O11" s="8">
        <f>M11-N11</f>
        <v/>
      </c>
    </row>
    <row r="12" ht="18" customHeight="1">
      <c r="A12" s="6" t="n"/>
      <c r="B12" s="7" t="n"/>
      <c r="C12" s="7" t="n"/>
      <c r="D12" s="6" t="n"/>
      <c r="E12" s="8" t="n"/>
      <c r="F12" s="8" t="n"/>
      <c r="G12" s="6" t="n"/>
      <c r="H12" s="8">
        <f>IF(G12="",0,(IF(G12="N",((E12+F12)-(E12*J12%))/(1-(I12/100)),IF(G12="S",((E12+F12)/(1-(I12/100))),IF(G12&gt;0,((E12+F12)-(E12*G12))/(1-(I12/100)))))))</f>
        <v/>
      </c>
      <c r="I12" s="9" t="n"/>
      <c r="J12" s="9" t="n"/>
      <c r="K12" s="8">
        <f>H12*I12%</f>
        <v/>
      </c>
      <c r="L12" s="8">
        <f>E12*J12%</f>
        <v/>
      </c>
      <c r="M12" s="8">
        <f>IF(G12="",0,IF(G12="S",H12*((I12-J12)%),IF(G12="N",K12-L12,IF(G12&gt;0,H12*((I12-J12)%)))))</f>
        <v/>
      </c>
      <c r="N12" s="8" t="n"/>
      <c r="O12" s="8">
        <f>M12-N12</f>
        <v/>
      </c>
    </row>
    <row r="13" ht="18" customHeight="1">
      <c r="A13" s="6" t="n"/>
      <c r="B13" s="7" t="n"/>
      <c r="C13" s="7" t="n"/>
      <c r="D13" s="6" t="n"/>
      <c r="E13" s="8" t="n"/>
      <c r="F13" s="8" t="n"/>
      <c r="G13" s="6" t="n"/>
      <c r="H13" s="8">
        <f>IF(G13="",0,(IF(G13="N",((E13+F13)-(E13*J13%))/(1-(I13/100)),IF(G13="S",((E13+F13)/(1-(I13/100))),IF(G13&gt;0,((E13+F13)-(E13*G13))/(1-(I13/100)))))))</f>
        <v/>
      </c>
      <c r="I13" s="9" t="n"/>
      <c r="J13" s="9" t="n"/>
      <c r="K13" s="8">
        <f>H13*I13%</f>
        <v/>
      </c>
      <c r="L13" s="8">
        <f>E13*J13%</f>
        <v/>
      </c>
      <c r="M13" s="8">
        <f>IF(G13="",0,IF(G13="S",H13*((I13-J13)%),IF(G13="N",K13-L13,IF(G13&gt;0,H13*((I13-J13)%)))))</f>
        <v/>
      </c>
      <c r="N13" s="8" t="n"/>
      <c r="O13" s="8">
        <f>M13-N13</f>
        <v/>
      </c>
    </row>
    <row r="14" ht="18" customHeight="1">
      <c r="A14" s="6" t="n"/>
      <c r="B14" s="7" t="n"/>
      <c r="C14" s="7" t="n"/>
      <c r="D14" s="6" t="n"/>
      <c r="E14" s="8" t="n"/>
      <c r="F14" s="8" t="n"/>
      <c r="G14" s="6" t="n"/>
      <c r="H14" s="8">
        <f>IF(G14="",0,(IF(G14="N",((E14+F14)-(E14*J14%))/(1-(I14/100)),IF(G14="S",((E14+F14)/(1-(I14/100))),IF(G14&gt;0,((E14+F14)-(E14*G14))/(1-(I14/100)))))))</f>
        <v/>
      </c>
      <c r="I14" s="9" t="n"/>
      <c r="J14" s="9" t="n"/>
      <c r="K14" s="8">
        <f>H14*I14%</f>
        <v/>
      </c>
      <c r="L14" s="8">
        <f>E14*J14%</f>
        <v/>
      </c>
      <c r="M14" s="8">
        <f>IF(G14="",0,IF(G14="S",H14*((I14-J14)%),IF(G14="N",K14-L14,IF(G14&gt;0,H14*((I14-J14)%)))))</f>
        <v/>
      </c>
      <c r="N14" s="8" t="n"/>
      <c r="O14" s="8">
        <f>M14-N14</f>
        <v/>
      </c>
    </row>
    <row r="15" ht="18" customHeight="1">
      <c r="A15" s="6" t="n"/>
      <c r="B15" s="7" t="n"/>
      <c r="C15" s="7" t="n"/>
      <c r="D15" s="6" t="n"/>
      <c r="E15" s="8" t="n"/>
      <c r="F15" s="8" t="n"/>
      <c r="G15" s="6" t="n"/>
      <c r="H15" s="8">
        <f>IF(G15="",0,(IF(G15="N",((E15+F15)-(E15*J15%))/(1-(I15/100)),IF(G15="S",((E15+F15)/(1-(I15/100))),IF(G15&gt;0,((E15+F15)-(E15*G15))/(1-(I15/100)))))))</f>
        <v/>
      </c>
      <c r="I15" s="9" t="n"/>
      <c r="J15" s="9" t="n"/>
      <c r="K15" s="8">
        <f>H15*I15%</f>
        <v/>
      </c>
      <c r="L15" s="8">
        <f>E15*J15%</f>
        <v/>
      </c>
      <c r="M15" s="8">
        <f>IF(G15="",0,IF(G15="S",H15*((I15-J15)%),IF(G15="N",K15-L15,IF(G15&gt;0,H15*((I15-J15)%)))))</f>
        <v/>
      </c>
      <c r="N15" s="8" t="n"/>
      <c r="O15" s="8">
        <f>M15-N15</f>
        <v/>
      </c>
    </row>
    <row r="16" ht="18" customHeight="1">
      <c r="A16" s="6" t="n"/>
      <c r="B16" s="7" t="n"/>
      <c r="C16" s="7" t="n"/>
      <c r="D16" s="6" t="n"/>
      <c r="E16" s="8" t="n"/>
      <c r="F16" s="8" t="n"/>
      <c r="G16" s="6" t="n"/>
      <c r="H16" s="8">
        <f>IF(G16="",0,(IF(G16="N",((E16+F16)-(E16*J16%))/(1-(I16/100)),IF(G16="S",((E16+F16)/(1-(I16/100))),IF(G16&gt;0,((E16+F16)-(E16*G16))/(1-(I16/100)))))))</f>
        <v/>
      </c>
      <c r="I16" s="9" t="n"/>
      <c r="J16" s="9" t="n"/>
      <c r="K16" s="8">
        <f>H16*I16%</f>
        <v/>
      </c>
      <c r="L16" s="8">
        <f>E16*J16%</f>
        <v/>
      </c>
      <c r="M16" s="8">
        <f>IF(G16="",0,IF(G16="S",H16*((I16-J16)%),IF(G16="N",K16-L16,IF(G16&gt;0,H16*((I16-J16)%)))))</f>
        <v/>
      </c>
      <c r="N16" s="8" t="n"/>
      <c r="O16" s="8">
        <f>M16-N16</f>
        <v/>
      </c>
    </row>
    <row r="17" ht="18" customHeight="1">
      <c r="A17" s="6" t="n"/>
      <c r="B17" s="7" t="n"/>
      <c r="C17" s="7" t="n"/>
      <c r="D17" s="6" t="n"/>
      <c r="E17" s="8" t="n"/>
      <c r="F17" s="8" t="n"/>
      <c r="G17" s="6" t="n"/>
      <c r="H17" s="8">
        <f>IF(G17="",0,(IF(G17="N",((E17+F17)-(E17*J17%))/(1-(I17/100)),IF(G17="S",((E17+F17)/(1-(I17/100))),IF(G17&gt;0,((E17+F17)-(E17*G17))/(1-(I17/100)))))))</f>
        <v/>
      </c>
      <c r="I17" s="9" t="n"/>
      <c r="J17" s="9" t="n"/>
      <c r="K17" s="8">
        <f>H17*I17%</f>
        <v/>
      </c>
      <c r="L17" s="8">
        <f>E17*J17%</f>
        <v/>
      </c>
      <c r="M17" s="8">
        <f>IF(G17="",0,IF(G17="S",H17*((I17-J17)%),IF(G17="N",K17-L17,IF(G17&gt;0,H17*((I17-J17)%)))))</f>
        <v/>
      </c>
      <c r="N17" s="8" t="n"/>
      <c r="O17" s="8">
        <f>M17-N17</f>
        <v/>
      </c>
    </row>
    <row r="18" ht="18" customHeight="1">
      <c r="A18" s="6" t="n"/>
      <c r="B18" s="7" t="n"/>
      <c r="C18" s="7" t="n"/>
      <c r="D18" s="6" t="n"/>
      <c r="E18" s="8" t="n"/>
      <c r="F18" s="8" t="n"/>
      <c r="G18" s="6" t="n"/>
      <c r="H18" s="8">
        <f>IF(G18="",0,(IF(G18="N",((E18+F18)-(E18*J18%))/(1-(I18/100)),IF(G18="S",((E18+F18)/(1-(I18/100))),IF(G18&gt;0,((E18+F18)-(E18*G18))/(1-(I18/100)))))))</f>
        <v/>
      </c>
      <c r="I18" s="9" t="n"/>
      <c r="J18" s="9" t="n"/>
      <c r="K18" s="8">
        <f>H18*I18%</f>
        <v/>
      </c>
      <c r="L18" s="8">
        <f>E18*J18%</f>
        <v/>
      </c>
      <c r="M18" s="8">
        <f>IF(G18="",0,IF(G18="S",H18*((I18-J18)%),IF(G18="N",K18-L18,IF(G18&gt;0,H18*((I18-J18)%)))))</f>
        <v/>
      </c>
      <c r="N18" s="8" t="n"/>
      <c r="O18" s="8">
        <f>M18-N18</f>
        <v/>
      </c>
    </row>
    <row r="19" ht="18" customHeight="1">
      <c r="A19" s="6" t="n"/>
      <c r="B19" s="7" t="n"/>
      <c r="C19" s="7" t="n"/>
      <c r="D19" s="6" t="n"/>
      <c r="E19" s="8" t="n"/>
      <c r="F19" s="8" t="n"/>
      <c r="G19" s="6" t="n"/>
      <c r="H19" s="8">
        <f>IF(G19="",0,(IF(G19="N",((E19+F19)-(E19*J19%))/(1-(I19/100)),IF(G19="S",((E19+F19)/(1-(I19/100))),IF(G19&gt;0,((E19+F19)-(E19*G19))/(1-(I19/100)))))))</f>
        <v/>
      </c>
      <c r="I19" s="9" t="n"/>
      <c r="J19" s="9" t="n"/>
      <c r="K19" s="8">
        <f>H19*I19%</f>
        <v/>
      </c>
      <c r="L19" s="8">
        <f>E19*J19%</f>
        <v/>
      </c>
      <c r="M19" s="8">
        <f>IF(G19="",0,IF(G19="S",H19*((I19-J19)%),IF(G19="N",K19-L19,IF(G19&gt;0,H19*((I19-J19)%)))))</f>
        <v/>
      </c>
      <c r="N19" s="8" t="n"/>
      <c r="O19" s="8">
        <f>M19-N19</f>
        <v/>
      </c>
    </row>
    <row r="20" ht="18" customHeight="1">
      <c r="A20" s="6" t="n"/>
      <c r="B20" s="7" t="n"/>
      <c r="C20" s="7" t="n"/>
      <c r="D20" s="6" t="n"/>
      <c r="E20" s="8" t="n"/>
      <c r="F20" s="8" t="n"/>
      <c r="G20" s="6" t="n"/>
      <c r="H20" s="8">
        <f>IF(G20="",0,(IF(G20="N",((E20+F20)-(E20*J20%))/(1-(I20/100)),IF(G20="S",((E20+F20)/(1-(I20/100))),IF(G20&gt;0,((E20+F20)-(E20*G20))/(1-(I20/100)))))))</f>
        <v/>
      </c>
      <c r="I20" s="9" t="n"/>
      <c r="J20" s="9" t="n"/>
      <c r="K20" s="8">
        <f>H20*I20%</f>
        <v/>
      </c>
      <c r="L20" s="8">
        <f>E20*J20%</f>
        <v/>
      </c>
      <c r="M20" s="8">
        <f>IF(G20="",0,IF(G20="S",H20*((I20-J20)%),IF(G20="N",K20-L20,IF(G20&gt;0,H20*((I20-J20)%)))))</f>
        <v/>
      </c>
      <c r="N20" s="8" t="n"/>
      <c r="O20" s="8">
        <f>M20-N20</f>
        <v/>
      </c>
    </row>
    <row r="21" ht="18" customHeight="1">
      <c r="A21" s="6" t="n"/>
      <c r="B21" s="7" t="n"/>
      <c r="C21" s="7" t="n"/>
      <c r="D21" s="6" t="n"/>
      <c r="E21" s="8" t="n"/>
      <c r="F21" s="8" t="n"/>
      <c r="G21" s="6" t="n"/>
      <c r="H21" s="8">
        <f>IF(G21="",0,(IF(G21="N",((E21+F21)-(E21*J21%))/(1-(I21/100)),IF(G21="S",((E21+F21)/(1-(I21/100))),IF(G21&gt;0,((E21+F21)-(E21*G21))/(1-(I21/100)))))))</f>
        <v/>
      </c>
      <c r="I21" s="9" t="n"/>
      <c r="J21" s="9" t="n"/>
      <c r="K21" s="8">
        <f>H21*I21%</f>
        <v/>
      </c>
      <c r="L21" s="8">
        <f>E21*J21%</f>
        <v/>
      </c>
      <c r="M21" s="8">
        <f>IF(G21="",0,IF(G21="S",H21*((I21-J21)%),IF(G21="N",K21-L21,IF(G21&gt;0,H21*((I21-J21)%)))))</f>
        <v/>
      </c>
      <c r="N21" s="8" t="n"/>
      <c r="O21" s="8">
        <f>M21-N21</f>
        <v/>
      </c>
    </row>
    <row r="22" ht="18" customHeight="1">
      <c r="A22" s="6" t="n"/>
      <c r="B22" s="7" t="n"/>
      <c r="C22" s="7" t="n"/>
      <c r="D22" s="6" t="n"/>
      <c r="E22" s="8" t="n"/>
      <c r="F22" s="8" t="n"/>
      <c r="G22" s="6" t="n"/>
      <c r="H22" s="8">
        <f>IF(G22="",0,(IF(G22="N",((E22+F22)-(E22*J22%))/(1-(I22/100)),IF(G22="S",((E22+F22)/(1-(I22/100))),IF(G22&gt;0,((E22+F22)-(E22*G22))/(1-(I22/100)))))))</f>
        <v/>
      </c>
      <c r="I22" s="9" t="n"/>
      <c r="J22" s="9" t="n"/>
      <c r="K22" s="8">
        <f>H22*I22%</f>
        <v/>
      </c>
      <c r="L22" s="8">
        <f>E22*J22%</f>
        <v/>
      </c>
      <c r="M22" s="8">
        <f>IF(G22="",0,IF(G22="S",H22*((I22-J22)%),IF(G22="N",K22-L22,IF(G22&gt;0,H22*((I22-J22)%)))))</f>
        <v/>
      </c>
      <c r="N22" s="8" t="n"/>
      <c r="O22" s="8">
        <f>M22-N22</f>
        <v/>
      </c>
    </row>
    <row r="23" ht="18" customHeight="1">
      <c r="A23" s="6" t="n"/>
      <c r="B23" s="7" t="n"/>
      <c r="C23" s="7" t="n"/>
      <c r="D23" s="6" t="n"/>
      <c r="E23" s="8" t="n"/>
      <c r="F23" s="8" t="n"/>
      <c r="G23" s="6" t="n"/>
      <c r="H23" s="8">
        <f>IF(G23="",0,(IF(G23="N",((E23+F23)-(E23*J23%))/(1-(I23/100)),IF(G23="S",((E23+F23)/(1-(I23/100))),IF(G23&gt;0,((E23+F23)-(E23*G23))/(1-(I23/100)))))))</f>
        <v/>
      </c>
      <c r="I23" s="9" t="n"/>
      <c r="J23" s="9" t="n"/>
      <c r="K23" s="8">
        <f>H23*I23%</f>
        <v/>
      </c>
      <c r="L23" s="8">
        <f>E23*J23%</f>
        <v/>
      </c>
      <c r="M23" s="8">
        <f>IF(G23="",0,IF(G23="S",H23*((I23-J23)%),IF(G23="N",K23-L23,IF(G23&gt;0,H23*((I23-J23)%)))))</f>
        <v/>
      </c>
      <c r="N23" s="8" t="n"/>
      <c r="O23" s="8">
        <f>M23-N23</f>
        <v/>
      </c>
    </row>
    <row r="24" ht="18" customHeight="1">
      <c r="A24" s="6" t="n"/>
      <c r="B24" s="7" t="n"/>
      <c r="C24" s="7" t="n"/>
      <c r="D24" s="6" t="n"/>
      <c r="E24" s="8" t="n"/>
      <c r="F24" s="8" t="n"/>
      <c r="G24" s="6" t="n"/>
      <c r="H24" s="8">
        <f>IF(G24="",0,(IF(G24="N",((E24+F24)-(E24*J24%))/(1-(I24/100)),IF(G24="S",((E24+F24)/(1-(I24/100))),IF(G24&gt;0,((E24+F24)-(E24*G24))/(1-(I24/100)))))))</f>
        <v/>
      </c>
      <c r="I24" s="9" t="n"/>
      <c r="J24" s="9" t="n"/>
      <c r="K24" s="8">
        <f>H24*I24%</f>
        <v/>
      </c>
      <c r="L24" s="8">
        <f>E24*J24%</f>
        <v/>
      </c>
      <c r="M24" s="8">
        <f>IF(G24="",0,IF(G24="S",H24*((I24-J24)%),IF(G24="N",K24-L24,IF(G24&gt;0,H24*((I24-J24)%)))))</f>
        <v/>
      </c>
      <c r="N24" s="8" t="n"/>
      <c r="O24" s="8">
        <f>M24-N24</f>
        <v/>
      </c>
    </row>
    <row r="25" ht="18" customHeight="1">
      <c r="A25" s="6" t="n"/>
      <c r="B25" s="7" t="n"/>
      <c r="C25" s="7" t="n"/>
      <c r="D25" s="6" t="n"/>
      <c r="E25" s="8" t="n"/>
      <c r="F25" s="8" t="n"/>
      <c r="G25" s="6" t="n"/>
      <c r="H25" s="8">
        <f>IF(G25="",0,(IF(G25="N",((E25+F25)-(E25*J25%))/(1-(I25/100)),IF(G25="S",((E25+F25)/(1-(I25/100))),IF(G25&gt;0,((E25+F25)-(E25*G25))/(1-(I25/100)))))))</f>
        <v/>
      </c>
      <c r="I25" s="9" t="n"/>
      <c r="J25" s="9" t="n"/>
      <c r="K25" s="8">
        <f>H25*I25%</f>
        <v/>
      </c>
      <c r="L25" s="8">
        <f>E25*J25%</f>
        <v/>
      </c>
      <c r="M25" s="8">
        <f>IF(G25="",0,IF(G25="S",H25*((I25-J25)%),IF(G25="N",K25-L25,IF(G25&gt;0,H25*((I25-J25)%)))))</f>
        <v/>
      </c>
      <c r="N25" s="8" t="n"/>
      <c r="O25" s="8">
        <f>M25-N25</f>
        <v/>
      </c>
    </row>
    <row r="26" ht="18" customHeight="1">
      <c r="A26" s="6" t="n"/>
      <c r="B26" s="7" t="n"/>
      <c r="C26" s="7" t="n"/>
      <c r="D26" s="6" t="n"/>
      <c r="E26" s="8" t="n"/>
      <c r="F26" s="8" t="n"/>
      <c r="G26" s="6" t="n"/>
      <c r="H26" s="8">
        <f>IF(G26="",0,(IF(G26="N",((E26+F26)-(E26*J26%))/(1-(I26/100)),IF(G26="S",((E26+F26)/(1-(I26/100))),IF(G26&gt;0,((E26+F26)-(E26*G26))/(1-(I26/100)))))))</f>
        <v/>
      </c>
      <c r="I26" s="9" t="n"/>
      <c r="J26" s="9" t="n"/>
      <c r="K26" s="8">
        <f>H26*I26%</f>
        <v/>
      </c>
      <c r="L26" s="8">
        <f>E26*J26%</f>
        <v/>
      </c>
      <c r="M26" s="8">
        <f>IF(G26="",0,IF(G26="S",H26*((I26-J26)%),IF(G26="N",K26-L26,IF(G26&gt;0,H26*((I26-J26)%)))))</f>
        <v/>
      </c>
      <c r="N26" s="8" t="n"/>
      <c r="O26" s="8">
        <f>M26-N26</f>
        <v/>
      </c>
    </row>
    <row r="27" ht="18" customHeight="1">
      <c r="A27" s="6" t="n"/>
      <c r="B27" s="7" t="n"/>
      <c r="C27" s="7" t="n"/>
      <c r="D27" s="6" t="n"/>
      <c r="E27" s="8" t="n"/>
      <c r="F27" s="8" t="n"/>
      <c r="G27" s="6" t="n"/>
      <c r="H27" s="8">
        <f>IF(G27="",0,(IF(G27="N",((E27+F27)-(E27*J27%))/(1-(I27/100)),IF(G27="S",((E27+F27)/(1-(I27/100))),IF(G27&gt;0,((E27+F27)-(E27*G27))/(1-(I27/100)))))))</f>
        <v/>
      </c>
      <c r="I27" s="9" t="n"/>
      <c r="J27" s="9" t="n"/>
      <c r="K27" s="8">
        <f>H27*I27%</f>
        <v/>
      </c>
      <c r="L27" s="8">
        <f>E27*J27%</f>
        <v/>
      </c>
      <c r="M27" s="8">
        <f>IF(G27="",0,IF(G27="S",H27*((I27-J27)%),IF(G27="N",K27-L27,IF(G27&gt;0,H27*((I27-J27)%)))))</f>
        <v/>
      </c>
      <c r="N27" s="8" t="n"/>
      <c r="O27" s="8">
        <f>M27-N27</f>
        <v/>
      </c>
    </row>
    <row r="28" ht="18" customHeight="1">
      <c r="A28" s="6" t="n"/>
      <c r="B28" s="7" t="n"/>
      <c r="C28" s="7" t="n"/>
      <c r="D28" s="6" t="n"/>
      <c r="E28" s="8" t="n"/>
      <c r="F28" s="8" t="n"/>
      <c r="G28" s="6" t="n"/>
      <c r="H28" s="8">
        <f>IF(G28="",0,(IF(G28="N",((E28+F28)-(E28*J28%))/(1-(I28/100)),IF(G28="S",((E28+F28)/(1-(I28/100))),IF(G28&gt;0,((E28+F28)-(E28*G28))/(1-(I28/100)))))))</f>
        <v/>
      </c>
      <c r="I28" s="9" t="n"/>
      <c r="J28" s="9" t="n"/>
      <c r="K28" s="8">
        <f>H28*I28%</f>
        <v/>
      </c>
      <c r="L28" s="8">
        <f>E28*J28%</f>
        <v/>
      </c>
      <c r="M28" s="8">
        <f>IF(G28="",0,IF(G28="S",H28*((I28-J28)%),IF(G28="N",K28-L28,IF(G28&gt;0,H28*((I28-J28)%)))))</f>
        <v/>
      </c>
      <c r="N28" s="8" t="n"/>
      <c r="O28" s="8">
        <f>M28-N28</f>
        <v/>
      </c>
    </row>
    <row r="29" ht="18" customHeight="1">
      <c r="A29" s="6" t="n"/>
      <c r="B29" s="7" t="n"/>
      <c r="C29" s="7" t="n"/>
      <c r="D29" s="6" t="n"/>
      <c r="E29" s="8" t="n"/>
      <c r="F29" s="8" t="n"/>
      <c r="G29" s="6" t="n"/>
      <c r="H29" s="8">
        <f>IF(G29="",0,(IF(G29="N",((E29+F29)-(E29*J29%))/(1-(I29/100)),IF(G29="S",((E29+F29)/(1-(I29/100))),IF(G29&gt;0,((E29+F29)-(E29*G29))/(1-(I29/100)))))))</f>
        <v/>
      </c>
      <c r="I29" s="9" t="n"/>
      <c r="J29" s="9" t="n"/>
      <c r="K29" s="8">
        <f>H29*I29%</f>
        <v/>
      </c>
      <c r="L29" s="8">
        <f>E29*J29%</f>
        <v/>
      </c>
      <c r="M29" s="8">
        <f>IF(G29="",0,IF(G29="S",H29*((I29-J29)%),IF(G29="N",K29-L29,IF(G29&gt;0,H29*((I29-J29)%)))))</f>
        <v/>
      </c>
      <c r="N29" s="8" t="n"/>
      <c r="O29" s="8">
        <f>M29-N29</f>
        <v/>
      </c>
    </row>
    <row r="30" ht="18" customHeight="1">
      <c r="A30" s="6" t="n"/>
      <c r="B30" s="7" t="n"/>
      <c r="C30" s="7" t="n"/>
      <c r="D30" s="6" t="n"/>
      <c r="E30" s="8" t="n"/>
      <c r="F30" s="8" t="n"/>
      <c r="G30" s="6" t="n"/>
      <c r="H30" s="8">
        <f>IF(G30="",0,(IF(G30="N",((E30+F30)-(E30*J30%))/(1-(I30/100)),IF(G30="S",((E30+F30)/(1-(I30/100))),IF(G30&gt;0,((E30+F30)-(E30*G30))/(1-(I30/100)))))))</f>
        <v/>
      </c>
      <c r="I30" s="9" t="n"/>
      <c r="J30" s="9" t="n"/>
      <c r="K30" s="8">
        <f>H30*I30%</f>
        <v/>
      </c>
      <c r="L30" s="8">
        <f>E30*J30%</f>
        <v/>
      </c>
      <c r="M30" s="8">
        <f>IF(G30="",0,IF(G30="S",H30*((I30-J30)%),IF(G30="N",K30-L30,IF(G30&gt;0,H30*((I30-J30)%)))))</f>
        <v/>
      </c>
      <c r="N30" s="8" t="n"/>
      <c r="O30" s="8">
        <f>M30-N30</f>
        <v/>
      </c>
    </row>
    <row r="31" ht="18" customHeight="1">
      <c r="A31" s="6" t="n"/>
      <c r="B31" s="7" t="n"/>
      <c r="C31" s="7" t="n"/>
      <c r="D31" s="6" t="n"/>
      <c r="E31" s="8" t="n"/>
      <c r="F31" s="8" t="n"/>
      <c r="G31" s="6" t="n"/>
      <c r="H31" s="8">
        <f>IF(G31="",0,(IF(G31="N",((E31+F31)-(E31*J31%))/(1-(I31/100)),IF(G31="S",((E31+F31)/(1-(I31/100))),IF(G31&gt;0,((E31+F31)-(E31*G31))/(1-(I31/100)))))))</f>
        <v/>
      </c>
      <c r="I31" s="9" t="n"/>
      <c r="J31" s="9" t="n"/>
      <c r="K31" s="8">
        <f>H31*I31%</f>
        <v/>
      </c>
      <c r="L31" s="8">
        <f>E31*J31%</f>
        <v/>
      </c>
      <c r="M31" s="8">
        <f>IF(G31="",0,IF(G31="S",H31*((I31-J31)%),IF(G31="N",K31-L31,IF(G31&gt;0,H31*((I31-J31)%)))))</f>
        <v/>
      </c>
      <c r="N31" s="8" t="n"/>
      <c r="O31" s="8">
        <f>M31-N31</f>
        <v/>
      </c>
    </row>
    <row r="32" ht="18" customHeight="1">
      <c r="A32" s="6" t="n"/>
      <c r="B32" s="7" t="n"/>
      <c r="C32" s="7" t="n"/>
      <c r="D32" s="6" t="n"/>
      <c r="E32" s="8" t="n"/>
      <c r="F32" s="8" t="n"/>
      <c r="G32" s="6" t="n"/>
      <c r="H32" s="8">
        <f>IF(G32="",0,(IF(G32="N",((E32+F32)-(E32*J32%))/(1-(I32/100)),IF(G32="S",((E32+F32)/(1-(I32/100))),IF(G32&gt;0,((E32+F32)-(E32*G32))/(1-(I32/100)))))))</f>
        <v/>
      </c>
      <c r="I32" s="9" t="n"/>
      <c r="J32" s="9" t="n"/>
      <c r="K32" s="8">
        <f>H32*I32%</f>
        <v/>
      </c>
      <c r="L32" s="8">
        <f>E32*J32%</f>
        <v/>
      </c>
      <c r="M32" s="8">
        <f>IF(G32="",0,IF(G32="S",H32*((I32-J32)%),IF(G32="N",K32-L32,IF(G32&gt;0,H32*((I32-J32)%)))))</f>
        <v/>
      </c>
      <c r="N32" s="8" t="n"/>
      <c r="O32" s="8">
        <f>M32-N32</f>
        <v/>
      </c>
    </row>
    <row r="33" ht="18" customHeight="1">
      <c r="A33" s="6" t="n"/>
      <c r="B33" s="7" t="n"/>
      <c r="C33" s="7" t="n"/>
      <c r="D33" s="6" t="n"/>
      <c r="E33" s="8" t="n"/>
      <c r="F33" s="8" t="n"/>
      <c r="G33" s="6" t="n"/>
      <c r="H33" s="8">
        <f>IF(G33="",0,(IF(G33="N",((E33+F33)-(E33*J33%))/(1-(I33/100)),IF(G33="S",((E33+F33)/(1-(I33/100))),IF(G33&gt;0,((E33+F33)-(E33*G33))/(1-(I33/100)))))))</f>
        <v/>
      </c>
      <c r="I33" s="9" t="n"/>
      <c r="J33" s="9" t="n"/>
      <c r="K33" s="8">
        <f>H33*I33%</f>
        <v/>
      </c>
      <c r="L33" s="8">
        <f>E33*J33%</f>
        <v/>
      </c>
      <c r="M33" s="8">
        <f>IF(G33="",0,IF(G33="S",H33*((I33-J33)%),IF(G33="N",K33-L33,IF(G33&gt;0,H33*((I33-J33)%)))))</f>
        <v/>
      </c>
      <c r="N33" s="8" t="n"/>
      <c r="O33" s="8">
        <f>M33-N33</f>
        <v/>
      </c>
    </row>
    <row r="34" ht="18" customHeight="1">
      <c r="A34" s="6" t="n"/>
      <c r="B34" s="7" t="n"/>
      <c r="C34" s="7" t="n"/>
      <c r="D34" s="6" t="n"/>
      <c r="E34" s="8" t="n"/>
      <c r="F34" s="8" t="n"/>
      <c r="G34" s="6" t="n"/>
      <c r="H34" s="8">
        <f>IF(G34="",0,(IF(G34="N",((E34+F34)-(E34*J34%))/(1-(I34/100)),IF(G34="S",((E34+F34)/(1-(I34/100))),IF(G34&gt;0,((E34+F34)-(E34*G34))/(1-(I34/100)))))))</f>
        <v/>
      </c>
      <c r="I34" s="9" t="n"/>
      <c r="J34" s="9" t="n"/>
      <c r="K34" s="8">
        <f>H34*I34%</f>
        <v/>
      </c>
      <c r="L34" s="8">
        <f>E34*J34%</f>
        <v/>
      </c>
      <c r="M34" s="8">
        <f>IF(G34="",0,IF(G34="S",H34*((I34-J34)%),IF(G34="N",K34-L34,IF(G34&gt;0,H34*((I34-J34)%)))))</f>
        <v/>
      </c>
      <c r="N34" s="8" t="n"/>
      <c r="O34" s="8">
        <f>M34-N34</f>
        <v/>
      </c>
    </row>
    <row r="35" ht="18" customHeight="1">
      <c r="A35" s="6" t="n"/>
      <c r="B35" s="7" t="n"/>
      <c r="C35" s="7" t="n"/>
      <c r="D35" s="6" t="n"/>
      <c r="E35" s="8" t="n"/>
      <c r="F35" s="8" t="n"/>
      <c r="G35" s="6" t="n"/>
      <c r="H35" s="8">
        <f>IF(G35="",0,(IF(G35="N",((E35+F35)-(E35*J35%))/(1-(I35/100)),IF(G35="S",((E35+F35)/(1-(I35/100))),IF(G35&gt;0,((E35+F35)-(E35*G35))/(1-(I35/100)))))))</f>
        <v/>
      </c>
      <c r="I35" s="9" t="n"/>
      <c r="J35" s="9" t="n"/>
      <c r="K35" s="8">
        <f>H35*I35%</f>
        <v/>
      </c>
      <c r="L35" s="8">
        <f>E35*J35%</f>
        <v/>
      </c>
      <c r="M35" s="8">
        <f>IF(G35="",0,IF(G35="S",H35*((I35-J35)%),IF(G35="N",K35-L35,IF(G35&gt;0,H35*((I35-J35)%)))))</f>
        <v/>
      </c>
      <c r="N35" s="8" t="n"/>
      <c r="O35" s="8">
        <f>M35-N35</f>
        <v/>
      </c>
    </row>
    <row r="36" ht="18" customHeight="1">
      <c r="A36" s="6" t="n"/>
      <c r="B36" s="7" t="n"/>
      <c r="C36" s="7" t="n"/>
      <c r="D36" s="6" t="n"/>
      <c r="E36" s="8" t="n"/>
      <c r="F36" s="8" t="n"/>
      <c r="G36" s="6" t="n"/>
      <c r="H36" s="8">
        <f>IF(G36="",0,(IF(G36="N",((E36+F36)-(E36*J36%))/(1-(I36/100)),IF(G36="S",((E36+F36)/(1-(I36/100))),IF(G36&gt;0,((E36+F36)-(E36*G36))/(1-(I36/100)))))))</f>
        <v/>
      </c>
      <c r="I36" s="9" t="n"/>
      <c r="J36" s="9" t="n"/>
      <c r="K36" s="8">
        <f>H36*I36%</f>
        <v/>
      </c>
      <c r="L36" s="8">
        <f>E36*J36%</f>
        <v/>
      </c>
      <c r="M36" s="8">
        <f>IF(G36="",0,IF(G36="S",H36*((I36-J36)%),IF(G36="N",K36-L36,IF(G36&gt;0,H36*((I36-J36)%)))))</f>
        <v/>
      </c>
      <c r="N36" s="8" t="n"/>
      <c r="O36" s="8">
        <f>M36-N36</f>
        <v/>
      </c>
    </row>
    <row r="37" ht="18" customHeight="1">
      <c r="A37" s="6" t="n"/>
      <c r="B37" s="7" t="n"/>
      <c r="C37" s="7" t="n"/>
      <c r="D37" s="6" t="n"/>
      <c r="E37" s="8" t="n"/>
      <c r="F37" s="8" t="n"/>
      <c r="G37" s="6" t="n"/>
      <c r="H37" s="8">
        <f>IF(G37="",0,(IF(G37="N",((E37+F37)-(E37*J37%))/(1-(I37/100)),IF(G37="S",((E37+F37)/(1-(I37/100))),IF(G37&gt;0,((E37+F37)-(E37*G37))/(1-(I37/100)))))))</f>
        <v/>
      </c>
      <c r="I37" s="9" t="n"/>
      <c r="J37" s="9" t="n"/>
      <c r="K37" s="8">
        <f>H37*I37%</f>
        <v/>
      </c>
      <c r="L37" s="8">
        <f>E37*J37%</f>
        <v/>
      </c>
      <c r="M37" s="8">
        <f>IF(G37="",0,IF(G37="S",H37*((I37-J37)%),IF(G37="N",K37-L37,IF(G37&gt;0,H37*((I37-J37)%)))))</f>
        <v/>
      </c>
      <c r="N37" s="8" t="n"/>
      <c r="O37" s="8">
        <f>M37-N37</f>
        <v/>
      </c>
    </row>
    <row r="38" ht="18" customHeight="1">
      <c r="A38" s="6" t="n"/>
      <c r="B38" s="7" t="n"/>
      <c r="C38" s="7" t="n"/>
      <c r="D38" s="6" t="n"/>
      <c r="E38" s="8" t="n"/>
      <c r="F38" s="8" t="n"/>
      <c r="G38" s="6" t="n"/>
      <c r="H38" s="8">
        <f>IF(G38="",0,(IF(G38="N",((E38+F38)-(E38*J38%))/(1-(I38/100)),IF(G38="S",((E38+F38)/(1-(I38/100))),IF(G38&gt;0,((E38+F38)-(E38*G38))/(1-(I38/100)))))))</f>
        <v/>
      </c>
      <c r="I38" s="9" t="n"/>
      <c r="J38" s="9" t="n"/>
      <c r="K38" s="8">
        <f>H38*I38%</f>
        <v/>
      </c>
      <c r="L38" s="8">
        <f>E38*J38%</f>
        <v/>
      </c>
      <c r="M38" s="8">
        <f>IF(G38="",0,IF(G38="S",H38*((I38-J38)%),IF(G38="N",K38-L38,IF(G38&gt;0,H38*((I38-J38)%)))))</f>
        <v/>
      </c>
      <c r="N38" s="8" t="n"/>
      <c r="O38" s="8">
        <f>M38-N38</f>
        <v/>
      </c>
    </row>
    <row r="39" ht="20" customHeight="1">
      <c r="A39" s="10" t="n"/>
      <c r="B39" s="10" t="n"/>
      <c r="C39" s="10" t="n"/>
      <c r="D39" s="11" t="inlineStr">
        <is>
          <t>TOTAL</t>
        </is>
      </c>
      <c r="E39" s="12">
        <f>SUM(E4:E38)</f>
        <v/>
      </c>
      <c r="F39" s="12">
        <f>SUM(F4:F38)</f>
        <v/>
      </c>
      <c r="G39" s="10" t="n"/>
      <c r="H39" s="12">
        <f>SUM(H4:H38)</f>
        <v/>
      </c>
      <c r="I39" s="10" t="n"/>
      <c r="J39" s="10" t="n"/>
      <c r="K39" s="12">
        <f>SUM(K4:K38)</f>
        <v/>
      </c>
      <c r="L39" s="12">
        <f>SUM(L4:L38)</f>
        <v/>
      </c>
      <c r="M39" s="12">
        <f>SUM(M4:M38)</f>
        <v/>
      </c>
      <c r="N39" s="12">
        <f>SUM(N4:N38)</f>
        <v/>
      </c>
      <c r="O39" s="12">
        <f>SUM(O4:O38)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cols>
    <col width="4.5" customWidth="1" min="1" max="1"/>
    <col width="13" customWidth="1" min="2" max="2"/>
    <col width="14" customWidth="1" min="3" max="3"/>
    <col width="12" customWidth="1" min="4" max="4"/>
    <col width="15" customWidth="1" min="5" max="5"/>
    <col width="14" customWidth="1" min="6" max="6"/>
    <col width="14" customWidth="1" min="7" max="7"/>
    <col width="15" customWidth="1" min="8" max="8"/>
    <col width="10" customWidth="1" min="9" max="9"/>
    <col width="10" customWidth="1" min="10" max="10"/>
    <col width="15" customWidth="1" min="11" max="11"/>
    <col width="14" customWidth="1" min="12" max="12"/>
    <col width="16" customWidth="1" min="13" max="13"/>
    <col width="14" customWidth="1" min="14" max="14"/>
    <col width="16" customWidth="1" min="15" max="15"/>
  </cols>
  <sheetData>
    <row r="1" ht="24" customHeight="1">
      <c r="E1" s="1" t="inlineStr">
        <is>
          <t>CÁLCULO DIFERENCIAL DE ALÍQUOTA</t>
        </is>
      </c>
      <c r="N1" s="2" t="inlineStr">
        <is>
          <t>Código: RP-158                        Revisão: 00</t>
        </is>
      </c>
    </row>
    <row r="2" ht="20" customHeight="1">
      <c r="A2" s="3" t="inlineStr">
        <is>
          <t>Empresa:                                                                  I.E.:                                 Comp: 11/2026</t>
        </is>
      </c>
    </row>
    <row r="3" ht="28" customHeight="1">
      <c r="A3" s="4" t="inlineStr"/>
      <c r="B3" s="4" t="inlineStr">
        <is>
          <t>DATA ENTRADA</t>
        </is>
      </c>
      <c r="C3" s="4" t="inlineStr">
        <is>
          <t>DATA EMISSÃO</t>
        </is>
      </c>
      <c r="D3" s="4" t="inlineStr">
        <is>
          <t>N.  FISCAL</t>
        </is>
      </c>
      <c r="E3" s="5" t="inlineStr">
        <is>
          <t xml:space="preserve">   V. CONTÁBIL</t>
        </is>
      </c>
      <c r="F3" s="5" t="inlineStr">
        <is>
          <t xml:space="preserve"> IPI + DESP</t>
        </is>
      </c>
      <c r="G3" s="4" t="inlineStr">
        <is>
          <t>ALIQ. SIMPLES</t>
        </is>
      </c>
      <c r="H3" s="5" t="inlineStr">
        <is>
          <t>B.CÁLCULO</t>
        </is>
      </c>
      <c r="I3" s="5" t="inlineStr">
        <is>
          <t xml:space="preserve">  A. DST</t>
        </is>
      </c>
      <c r="J3" s="5" t="inlineStr">
        <is>
          <t xml:space="preserve">  A.ORI</t>
        </is>
      </c>
      <c r="K3" s="5" t="inlineStr">
        <is>
          <t>DÉBITO</t>
        </is>
      </c>
      <c r="L3" s="5" t="inlineStr">
        <is>
          <t>CRÉDITO</t>
        </is>
      </c>
      <c r="M3" s="5" t="inlineStr">
        <is>
          <t>VR.DEVIDO</t>
        </is>
      </c>
      <c r="N3" s="5" t="inlineStr">
        <is>
          <t>VR. PAGO</t>
        </is>
      </c>
      <c r="O3" s="5" t="inlineStr">
        <is>
          <t>DIFER.</t>
        </is>
      </c>
    </row>
    <row r="4" ht="18" customHeight="1">
      <c r="A4" s="6" t="n"/>
      <c r="B4" s="7" t="n"/>
      <c r="C4" s="7" t="n"/>
      <c r="D4" s="6" t="n"/>
      <c r="E4" s="8" t="n"/>
      <c r="F4" s="8" t="n"/>
      <c r="G4" s="6" t="n"/>
      <c r="H4" s="8">
        <f>IF(G4="",0,(IF(G4="N",((E4+F4)-(E4*J4%))/(1-(I4/100)),IF(G4="S",((E4+F4)/(1-(I4/100))),IF(G4&gt;0,((E4+F4)-(E4*G4))/(1-(I4/100)))))))</f>
        <v/>
      </c>
      <c r="I4" s="9" t="n"/>
      <c r="J4" s="9" t="n"/>
      <c r="K4" s="8">
        <f>H4*I4%</f>
        <v/>
      </c>
      <c r="L4" s="8">
        <f>E4*J4%</f>
        <v/>
      </c>
      <c r="M4" s="8">
        <f>IF(G4="",0,IF(G4="S",H4*((I4-J4)%),IF(G4="N",K4-L4,IF(G4&gt;0,H4*((I4-J4)%)))))</f>
        <v/>
      </c>
      <c r="N4" s="8" t="n"/>
      <c r="O4" s="8">
        <f>M4-N4</f>
        <v/>
      </c>
    </row>
    <row r="5" ht="18" customHeight="1">
      <c r="A5" s="6" t="n"/>
      <c r="B5" s="7" t="n"/>
      <c r="C5" s="7" t="n"/>
      <c r="D5" s="6" t="n"/>
      <c r="E5" s="8" t="n"/>
      <c r="F5" s="8" t="n"/>
      <c r="G5" s="6" t="n"/>
      <c r="H5" s="8">
        <f>IF(G5="",0,(IF(G5="N",((E5+F5)-(E5*J5%))/(1-(I5/100)),IF(G5="S",((E5+F5)/(1-(I5/100))),IF(G5&gt;0,((E5+F5)-(E5*G5))/(1-(I5/100)))))))</f>
        <v/>
      </c>
      <c r="I5" s="9" t="n"/>
      <c r="J5" s="9" t="n"/>
      <c r="K5" s="8">
        <f>H5*I5%</f>
        <v/>
      </c>
      <c r="L5" s="8">
        <f>E5*J5%</f>
        <v/>
      </c>
      <c r="M5" s="8">
        <f>IF(G5="",0,IF(G5="S",H5*((I5-J5)%),IF(G5="N",K5-L5,IF(G5&gt;0,H5*((I5-J5)%)))))</f>
        <v/>
      </c>
      <c r="N5" s="8" t="n"/>
      <c r="O5" s="8">
        <f>M5-N5</f>
        <v/>
      </c>
    </row>
    <row r="6" ht="18" customHeight="1">
      <c r="A6" s="6" t="n"/>
      <c r="B6" s="7" t="n"/>
      <c r="C6" s="7" t="n"/>
      <c r="D6" s="6" t="n"/>
      <c r="E6" s="8" t="n"/>
      <c r="F6" s="8" t="n"/>
      <c r="G6" s="6" t="n"/>
      <c r="H6" s="8">
        <f>IF(G6="",0,(IF(G6="N",((E6+F6)-(E6*J6%))/(1-(I6/100)),IF(G6="S",((E6+F6)/(1-(I6/100))),IF(G6&gt;0,((E6+F6)-(E6*G6))/(1-(I6/100)))))))</f>
        <v/>
      </c>
      <c r="I6" s="9" t="n"/>
      <c r="J6" s="9" t="n"/>
      <c r="K6" s="8">
        <f>H6*I6%</f>
        <v/>
      </c>
      <c r="L6" s="8">
        <f>E6*J6%</f>
        <v/>
      </c>
      <c r="M6" s="8">
        <f>IF(G6="",0,IF(G6="S",H6*((I6-J6)%),IF(G6="N",K6-L6,IF(G6&gt;0,H6*((I6-J6)%)))))</f>
        <v/>
      </c>
      <c r="N6" s="8" t="n"/>
      <c r="O6" s="8">
        <f>M6-N6</f>
        <v/>
      </c>
    </row>
    <row r="7" ht="18" customHeight="1">
      <c r="A7" s="6" t="n"/>
      <c r="B7" s="7" t="n"/>
      <c r="C7" s="7" t="n"/>
      <c r="D7" s="6" t="n"/>
      <c r="E7" s="8" t="n"/>
      <c r="F7" s="8" t="n"/>
      <c r="G7" s="6" t="n"/>
      <c r="H7" s="8">
        <f>IF(G7="",0,(IF(G7="N",((E7+F7)-(E7*J7%))/(1-(I7/100)),IF(G7="S",((E7+F7)/(1-(I7/100))),IF(G7&gt;0,((E7+F7)-(E7*G7))/(1-(I7/100)))))))</f>
        <v/>
      </c>
      <c r="I7" s="9" t="n"/>
      <c r="J7" s="9" t="n"/>
      <c r="K7" s="8">
        <f>H7*I7%</f>
        <v/>
      </c>
      <c r="L7" s="8">
        <f>E7*J7%</f>
        <v/>
      </c>
      <c r="M7" s="8">
        <f>IF(G7="",0,IF(G7="S",H7*((I7-J7)%),IF(G7="N",K7-L7,IF(G7&gt;0,H7*((I7-J7)%)))))</f>
        <v/>
      </c>
      <c r="N7" s="8" t="n"/>
      <c r="O7" s="8">
        <f>M7-N7</f>
        <v/>
      </c>
    </row>
    <row r="8" ht="18" customHeight="1">
      <c r="A8" s="6" t="n"/>
      <c r="B8" s="7" t="n"/>
      <c r="C8" s="7" t="n"/>
      <c r="D8" s="6" t="n"/>
      <c r="E8" s="8" t="n"/>
      <c r="F8" s="8" t="n"/>
      <c r="G8" s="6" t="n"/>
      <c r="H8" s="8">
        <f>IF(G8="",0,(IF(G8="N",((E8+F8)-(E8*J8%))/(1-(I8/100)),IF(G8="S",((E8+F8)/(1-(I8/100))),IF(G8&gt;0,((E8+F8)-(E8*G8))/(1-(I8/100)))))))</f>
        <v/>
      </c>
      <c r="I8" s="9" t="n"/>
      <c r="J8" s="9" t="n"/>
      <c r="K8" s="8">
        <f>H8*I8%</f>
        <v/>
      </c>
      <c r="L8" s="8">
        <f>E8*J8%</f>
        <v/>
      </c>
      <c r="M8" s="8">
        <f>IF(G8="",0,IF(G8="S",H8*((I8-J8)%),IF(G8="N",K8-L8,IF(G8&gt;0,H8*((I8-J8)%)))))</f>
        <v/>
      </c>
      <c r="N8" s="8" t="n"/>
      <c r="O8" s="8">
        <f>M8-N8</f>
        <v/>
      </c>
    </row>
    <row r="9" ht="18" customHeight="1">
      <c r="A9" s="6" t="n"/>
      <c r="B9" s="7" t="n"/>
      <c r="C9" s="7" t="n"/>
      <c r="D9" s="6" t="n"/>
      <c r="E9" s="8" t="n"/>
      <c r="F9" s="8" t="n"/>
      <c r="G9" s="6" t="n"/>
      <c r="H9" s="8">
        <f>IF(G9="",0,(IF(G9="N",((E9+F9)-(E9*J9%))/(1-(I9/100)),IF(G9="S",((E9+F9)/(1-(I9/100))),IF(G9&gt;0,((E9+F9)-(E9*G9))/(1-(I9/100)))))))</f>
        <v/>
      </c>
      <c r="I9" s="9" t="n"/>
      <c r="J9" s="9" t="n"/>
      <c r="K9" s="8">
        <f>H9*I9%</f>
        <v/>
      </c>
      <c r="L9" s="8">
        <f>E9*J9%</f>
        <v/>
      </c>
      <c r="M9" s="8">
        <f>IF(G9="",0,IF(G9="S",H9*((I9-J9)%),IF(G9="N",K9-L9,IF(G9&gt;0,H9*((I9-J9)%)))))</f>
        <v/>
      </c>
      <c r="N9" s="8" t="n"/>
      <c r="O9" s="8">
        <f>M9-N9</f>
        <v/>
      </c>
    </row>
    <row r="10" ht="18" customHeight="1">
      <c r="A10" s="6" t="n"/>
      <c r="B10" s="7" t="n"/>
      <c r="C10" s="7" t="n"/>
      <c r="D10" s="6" t="n"/>
      <c r="E10" s="8" t="n"/>
      <c r="F10" s="8" t="n"/>
      <c r="G10" s="6" t="n"/>
      <c r="H10" s="8">
        <f>IF(G10="",0,(IF(G10="N",((E10+F10)-(E10*J10%))/(1-(I10/100)),IF(G10="S",((E10+F10)/(1-(I10/100))),IF(G10&gt;0,((E10+F10)-(E10*G10))/(1-(I10/100)))))))</f>
        <v/>
      </c>
      <c r="I10" s="9" t="n"/>
      <c r="J10" s="9" t="n"/>
      <c r="K10" s="8">
        <f>H10*I10%</f>
        <v/>
      </c>
      <c r="L10" s="8">
        <f>E10*J10%</f>
        <v/>
      </c>
      <c r="M10" s="8">
        <f>IF(G10="",0,IF(G10="S",H10*((I10-J10)%),IF(G10="N",K10-L10,IF(G10&gt;0,H10*((I10-J10)%)))))</f>
        <v/>
      </c>
      <c r="N10" s="8" t="n"/>
      <c r="O10" s="8">
        <f>M10-N10</f>
        <v/>
      </c>
    </row>
    <row r="11" ht="18" customHeight="1">
      <c r="A11" s="6" t="n"/>
      <c r="B11" s="7" t="n"/>
      <c r="C11" s="7" t="n"/>
      <c r="D11" s="6" t="n"/>
      <c r="E11" s="8" t="n"/>
      <c r="F11" s="8" t="n"/>
      <c r="G11" s="6" t="n"/>
      <c r="H11" s="8">
        <f>IF(G11="",0,(IF(G11="N",((E11+F11)-(E11*J11%))/(1-(I11/100)),IF(G11="S",((E11+F11)/(1-(I11/100))),IF(G11&gt;0,((E11+F11)-(E11*G11))/(1-(I11/100)))))))</f>
        <v/>
      </c>
      <c r="I11" s="9" t="n"/>
      <c r="J11" s="9" t="n"/>
      <c r="K11" s="8">
        <f>H11*I11%</f>
        <v/>
      </c>
      <c r="L11" s="8">
        <f>E11*J11%</f>
        <v/>
      </c>
      <c r="M11" s="8">
        <f>IF(G11="",0,IF(G11="S",H11*((I11-J11)%),IF(G11="N",K11-L11,IF(G11&gt;0,H11*((I11-J11)%)))))</f>
        <v/>
      </c>
      <c r="N11" s="8" t="n"/>
      <c r="O11" s="8">
        <f>M11-N11</f>
        <v/>
      </c>
    </row>
    <row r="12" ht="18" customHeight="1">
      <c r="A12" s="6" t="n"/>
      <c r="B12" s="7" t="n"/>
      <c r="C12" s="7" t="n"/>
      <c r="D12" s="6" t="n"/>
      <c r="E12" s="8" t="n"/>
      <c r="F12" s="8" t="n"/>
      <c r="G12" s="6" t="n"/>
      <c r="H12" s="8">
        <f>IF(G12="",0,(IF(G12="N",((E12+F12)-(E12*J12%))/(1-(I12/100)),IF(G12="S",((E12+F12)/(1-(I12/100))),IF(G12&gt;0,((E12+F12)-(E12*G12))/(1-(I12/100)))))))</f>
        <v/>
      </c>
      <c r="I12" s="9" t="n"/>
      <c r="J12" s="9" t="n"/>
      <c r="K12" s="8">
        <f>H12*I12%</f>
        <v/>
      </c>
      <c r="L12" s="8">
        <f>E12*J12%</f>
        <v/>
      </c>
      <c r="M12" s="8">
        <f>IF(G12="",0,IF(G12="S",H12*((I12-J12)%),IF(G12="N",K12-L12,IF(G12&gt;0,H12*((I12-J12)%)))))</f>
        <v/>
      </c>
      <c r="N12" s="8" t="n"/>
      <c r="O12" s="8">
        <f>M12-N12</f>
        <v/>
      </c>
    </row>
    <row r="13" ht="18" customHeight="1">
      <c r="A13" s="6" t="n"/>
      <c r="B13" s="7" t="n"/>
      <c r="C13" s="7" t="n"/>
      <c r="D13" s="6" t="n"/>
      <c r="E13" s="8" t="n"/>
      <c r="F13" s="8" t="n"/>
      <c r="G13" s="6" t="n"/>
      <c r="H13" s="8">
        <f>IF(G13="",0,(IF(G13="N",((E13+F13)-(E13*J13%))/(1-(I13/100)),IF(G13="S",((E13+F13)/(1-(I13/100))),IF(G13&gt;0,((E13+F13)-(E13*G13))/(1-(I13/100)))))))</f>
        <v/>
      </c>
      <c r="I13" s="9" t="n"/>
      <c r="J13" s="9" t="n"/>
      <c r="K13" s="8">
        <f>H13*I13%</f>
        <v/>
      </c>
      <c r="L13" s="8">
        <f>E13*J13%</f>
        <v/>
      </c>
      <c r="M13" s="8">
        <f>IF(G13="",0,IF(G13="S",H13*((I13-J13)%),IF(G13="N",K13-L13,IF(G13&gt;0,H13*((I13-J13)%)))))</f>
        <v/>
      </c>
      <c r="N13" s="8" t="n"/>
      <c r="O13" s="8">
        <f>M13-N13</f>
        <v/>
      </c>
    </row>
    <row r="14" ht="18" customHeight="1">
      <c r="A14" s="6" t="n"/>
      <c r="B14" s="7" t="n"/>
      <c r="C14" s="7" t="n"/>
      <c r="D14" s="6" t="n"/>
      <c r="E14" s="8" t="n"/>
      <c r="F14" s="8" t="n"/>
      <c r="G14" s="6" t="n"/>
      <c r="H14" s="8">
        <f>IF(G14="",0,(IF(G14="N",((E14+F14)-(E14*J14%))/(1-(I14/100)),IF(G14="S",((E14+F14)/(1-(I14/100))),IF(G14&gt;0,((E14+F14)-(E14*G14))/(1-(I14/100)))))))</f>
        <v/>
      </c>
      <c r="I14" s="9" t="n"/>
      <c r="J14" s="9" t="n"/>
      <c r="K14" s="8">
        <f>H14*I14%</f>
        <v/>
      </c>
      <c r="L14" s="8">
        <f>E14*J14%</f>
        <v/>
      </c>
      <c r="M14" s="8">
        <f>IF(G14="",0,IF(G14="S",H14*((I14-J14)%),IF(G14="N",K14-L14,IF(G14&gt;0,H14*((I14-J14)%)))))</f>
        <v/>
      </c>
      <c r="N14" s="8" t="n"/>
      <c r="O14" s="8">
        <f>M14-N14</f>
        <v/>
      </c>
    </row>
    <row r="15" ht="18" customHeight="1">
      <c r="A15" s="6" t="n"/>
      <c r="B15" s="7" t="n"/>
      <c r="C15" s="7" t="n"/>
      <c r="D15" s="6" t="n"/>
      <c r="E15" s="8" t="n"/>
      <c r="F15" s="8" t="n"/>
      <c r="G15" s="6" t="n"/>
      <c r="H15" s="8">
        <f>IF(G15="",0,(IF(G15="N",((E15+F15)-(E15*J15%))/(1-(I15/100)),IF(G15="S",((E15+F15)/(1-(I15/100))),IF(G15&gt;0,((E15+F15)-(E15*G15))/(1-(I15/100)))))))</f>
        <v/>
      </c>
      <c r="I15" s="9" t="n"/>
      <c r="J15" s="9" t="n"/>
      <c r="K15" s="8">
        <f>H15*I15%</f>
        <v/>
      </c>
      <c r="L15" s="8">
        <f>E15*J15%</f>
        <v/>
      </c>
      <c r="M15" s="8">
        <f>IF(G15="",0,IF(G15="S",H15*((I15-J15)%),IF(G15="N",K15-L15,IF(G15&gt;0,H15*((I15-J15)%)))))</f>
        <v/>
      </c>
      <c r="N15" s="8" t="n"/>
      <c r="O15" s="8">
        <f>M15-N15</f>
        <v/>
      </c>
    </row>
    <row r="16" ht="18" customHeight="1">
      <c r="A16" s="6" t="n"/>
      <c r="B16" s="7" t="n"/>
      <c r="C16" s="7" t="n"/>
      <c r="D16" s="6" t="n"/>
      <c r="E16" s="8" t="n"/>
      <c r="F16" s="8" t="n"/>
      <c r="G16" s="6" t="n"/>
      <c r="H16" s="8">
        <f>IF(G16="",0,(IF(G16="N",((E16+F16)-(E16*J16%))/(1-(I16/100)),IF(G16="S",((E16+F16)/(1-(I16/100))),IF(G16&gt;0,((E16+F16)-(E16*G16))/(1-(I16/100)))))))</f>
        <v/>
      </c>
      <c r="I16" s="9" t="n"/>
      <c r="J16" s="9" t="n"/>
      <c r="K16" s="8">
        <f>H16*I16%</f>
        <v/>
      </c>
      <c r="L16" s="8">
        <f>E16*J16%</f>
        <v/>
      </c>
      <c r="M16" s="8">
        <f>IF(G16="",0,IF(G16="S",H16*((I16-J16)%),IF(G16="N",K16-L16,IF(G16&gt;0,H16*((I16-J16)%)))))</f>
        <v/>
      </c>
      <c r="N16" s="8" t="n"/>
      <c r="O16" s="8">
        <f>M16-N16</f>
        <v/>
      </c>
    </row>
    <row r="17" ht="18" customHeight="1">
      <c r="A17" s="6" t="n"/>
      <c r="B17" s="7" t="n"/>
      <c r="C17" s="7" t="n"/>
      <c r="D17" s="6" t="n"/>
      <c r="E17" s="8" t="n"/>
      <c r="F17" s="8" t="n"/>
      <c r="G17" s="6" t="n"/>
      <c r="H17" s="8">
        <f>IF(G17="",0,(IF(G17="N",((E17+F17)-(E17*J17%))/(1-(I17/100)),IF(G17="S",((E17+F17)/(1-(I17/100))),IF(G17&gt;0,((E17+F17)-(E17*G17))/(1-(I17/100)))))))</f>
        <v/>
      </c>
      <c r="I17" s="9" t="n"/>
      <c r="J17" s="9" t="n"/>
      <c r="K17" s="8">
        <f>H17*I17%</f>
        <v/>
      </c>
      <c r="L17" s="8">
        <f>E17*J17%</f>
        <v/>
      </c>
      <c r="M17" s="8">
        <f>IF(G17="",0,IF(G17="S",H17*((I17-J17)%),IF(G17="N",K17-L17,IF(G17&gt;0,H17*((I17-J17)%)))))</f>
        <v/>
      </c>
      <c r="N17" s="8" t="n"/>
      <c r="O17" s="8">
        <f>M17-N17</f>
        <v/>
      </c>
    </row>
    <row r="18" ht="18" customHeight="1">
      <c r="A18" s="6" t="n"/>
      <c r="B18" s="7" t="n"/>
      <c r="C18" s="7" t="n"/>
      <c r="D18" s="6" t="n"/>
      <c r="E18" s="8" t="n"/>
      <c r="F18" s="8" t="n"/>
      <c r="G18" s="6" t="n"/>
      <c r="H18" s="8">
        <f>IF(G18="",0,(IF(G18="N",((E18+F18)-(E18*J18%))/(1-(I18/100)),IF(G18="S",((E18+F18)/(1-(I18/100))),IF(G18&gt;0,((E18+F18)-(E18*G18))/(1-(I18/100)))))))</f>
        <v/>
      </c>
      <c r="I18" s="9" t="n"/>
      <c r="J18" s="9" t="n"/>
      <c r="K18" s="8">
        <f>H18*I18%</f>
        <v/>
      </c>
      <c r="L18" s="8">
        <f>E18*J18%</f>
        <v/>
      </c>
      <c r="M18" s="8">
        <f>IF(G18="",0,IF(G18="S",H18*((I18-J18)%),IF(G18="N",K18-L18,IF(G18&gt;0,H18*((I18-J18)%)))))</f>
        <v/>
      </c>
      <c r="N18" s="8" t="n"/>
      <c r="O18" s="8">
        <f>M18-N18</f>
        <v/>
      </c>
    </row>
    <row r="19" ht="18" customHeight="1">
      <c r="A19" s="6" t="n"/>
      <c r="B19" s="7" t="n"/>
      <c r="C19" s="7" t="n"/>
      <c r="D19" s="6" t="n"/>
      <c r="E19" s="8" t="n"/>
      <c r="F19" s="8" t="n"/>
      <c r="G19" s="6" t="n"/>
      <c r="H19" s="8">
        <f>IF(G19="",0,(IF(G19="N",((E19+F19)-(E19*J19%))/(1-(I19/100)),IF(G19="S",((E19+F19)/(1-(I19/100))),IF(G19&gt;0,((E19+F19)-(E19*G19))/(1-(I19/100)))))))</f>
        <v/>
      </c>
      <c r="I19" s="9" t="n"/>
      <c r="J19" s="9" t="n"/>
      <c r="K19" s="8">
        <f>H19*I19%</f>
        <v/>
      </c>
      <c r="L19" s="8">
        <f>E19*J19%</f>
        <v/>
      </c>
      <c r="M19" s="8">
        <f>IF(G19="",0,IF(G19="S",H19*((I19-J19)%),IF(G19="N",K19-L19,IF(G19&gt;0,H19*((I19-J19)%)))))</f>
        <v/>
      </c>
      <c r="N19" s="8" t="n"/>
      <c r="O19" s="8">
        <f>M19-N19</f>
        <v/>
      </c>
    </row>
    <row r="20" ht="18" customHeight="1">
      <c r="A20" s="6" t="n"/>
      <c r="B20" s="7" t="n"/>
      <c r="C20" s="7" t="n"/>
      <c r="D20" s="6" t="n"/>
      <c r="E20" s="8" t="n"/>
      <c r="F20" s="8" t="n"/>
      <c r="G20" s="6" t="n"/>
      <c r="H20" s="8">
        <f>IF(G20="",0,(IF(G20="N",((E20+F20)-(E20*J20%))/(1-(I20/100)),IF(G20="S",((E20+F20)/(1-(I20/100))),IF(G20&gt;0,((E20+F20)-(E20*G20))/(1-(I20/100)))))))</f>
        <v/>
      </c>
      <c r="I20" s="9" t="n"/>
      <c r="J20" s="9" t="n"/>
      <c r="K20" s="8">
        <f>H20*I20%</f>
        <v/>
      </c>
      <c r="L20" s="8">
        <f>E20*J20%</f>
        <v/>
      </c>
      <c r="M20" s="8">
        <f>IF(G20="",0,IF(G20="S",H20*((I20-J20)%),IF(G20="N",K20-L20,IF(G20&gt;0,H20*((I20-J20)%)))))</f>
        <v/>
      </c>
      <c r="N20" s="8" t="n"/>
      <c r="O20" s="8">
        <f>M20-N20</f>
        <v/>
      </c>
    </row>
    <row r="21" ht="18" customHeight="1">
      <c r="A21" s="6" t="n"/>
      <c r="B21" s="7" t="n"/>
      <c r="C21" s="7" t="n"/>
      <c r="D21" s="6" t="n"/>
      <c r="E21" s="8" t="n"/>
      <c r="F21" s="8" t="n"/>
      <c r="G21" s="6" t="n"/>
      <c r="H21" s="8">
        <f>IF(G21="",0,(IF(G21="N",((E21+F21)-(E21*J21%))/(1-(I21/100)),IF(G21="S",((E21+F21)/(1-(I21/100))),IF(G21&gt;0,((E21+F21)-(E21*G21))/(1-(I21/100)))))))</f>
        <v/>
      </c>
      <c r="I21" s="9" t="n"/>
      <c r="J21" s="9" t="n"/>
      <c r="K21" s="8">
        <f>H21*I21%</f>
        <v/>
      </c>
      <c r="L21" s="8">
        <f>E21*J21%</f>
        <v/>
      </c>
      <c r="M21" s="8">
        <f>IF(G21="",0,IF(G21="S",H21*((I21-J21)%),IF(G21="N",K21-L21,IF(G21&gt;0,H21*((I21-J21)%)))))</f>
        <v/>
      </c>
      <c r="N21" s="8" t="n"/>
      <c r="O21" s="8">
        <f>M21-N21</f>
        <v/>
      </c>
    </row>
    <row r="22" ht="18" customHeight="1">
      <c r="A22" s="6" t="n"/>
      <c r="B22" s="7" t="n"/>
      <c r="C22" s="7" t="n"/>
      <c r="D22" s="6" t="n"/>
      <c r="E22" s="8" t="n"/>
      <c r="F22" s="8" t="n"/>
      <c r="G22" s="6" t="n"/>
      <c r="H22" s="8">
        <f>IF(G22="",0,(IF(G22="N",((E22+F22)-(E22*J22%))/(1-(I22/100)),IF(G22="S",((E22+F22)/(1-(I22/100))),IF(G22&gt;0,((E22+F22)-(E22*G22))/(1-(I22/100)))))))</f>
        <v/>
      </c>
      <c r="I22" s="9" t="n"/>
      <c r="J22" s="9" t="n"/>
      <c r="K22" s="8">
        <f>H22*I22%</f>
        <v/>
      </c>
      <c r="L22" s="8">
        <f>E22*J22%</f>
        <v/>
      </c>
      <c r="M22" s="8">
        <f>IF(G22="",0,IF(G22="S",H22*((I22-J22)%),IF(G22="N",K22-L22,IF(G22&gt;0,H22*((I22-J22)%)))))</f>
        <v/>
      </c>
      <c r="N22" s="8" t="n"/>
      <c r="O22" s="8">
        <f>M22-N22</f>
        <v/>
      </c>
    </row>
    <row r="23" ht="18" customHeight="1">
      <c r="A23" s="6" t="n"/>
      <c r="B23" s="7" t="n"/>
      <c r="C23" s="7" t="n"/>
      <c r="D23" s="6" t="n"/>
      <c r="E23" s="8" t="n"/>
      <c r="F23" s="8" t="n"/>
      <c r="G23" s="6" t="n"/>
      <c r="H23" s="8">
        <f>IF(G23="",0,(IF(G23="N",((E23+F23)-(E23*J23%))/(1-(I23/100)),IF(G23="S",((E23+F23)/(1-(I23/100))),IF(G23&gt;0,((E23+F23)-(E23*G23))/(1-(I23/100)))))))</f>
        <v/>
      </c>
      <c r="I23" s="9" t="n"/>
      <c r="J23" s="9" t="n"/>
      <c r="K23" s="8">
        <f>H23*I23%</f>
        <v/>
      </c>
      <c r="L23" s="8">
        <f>E23*J23%</f>
        <v/>
      </c>
      <c r="M23" s="8">
        <f>IF(G23="",0,IF(G23="S",H23*((I23-J23)%),IF(G23="N",K23-L23,IF(G23&gt;0,H23*((I23-J23)%)))))</f>
        <v/>
      </c>
      <c r="N23" s="8" t="n"/>
      <c r="O23" s="8">
        <f>M23-N23</f>
        <v/>
      </c>
    </row>
    <row r="24" ht="18" customHeight="1">
      <c r="A24" s="6" t="n"/>
      <c r="B24" s="7" t="n"/>
      <c r="C24" s="7" t="n"/>
      <c r="D24" s="6" t="n"/>
      <c r="E24" s="8" t="n"/>
      <c r="F24" s="8" t="n"/>
      <c r="G24" s="6" t="n"/>
      <c r="H24" s="8">
        <f>IF(G24="",0,(IF(G24="N",((E24+F24)-(E24*J24%))/(1-(I24/100)),IF(G24="S",((E24+F24)/(1-(I24/100))),IF(G24&gt;0,((E24+F24)-(E24*G24))/(1-(I24/100)))))))</f>
        <v/>
      </c>
      <c r="I24" s="9" t="n"/>
      <c r="J24" s="9" t="n"/>
      <c r="K24" s="8">
        <f>H24*I24%</f>
        <v/>
      </c>
      <c r="L24" s="8">
        <f>E24*J24%</f>
        <v/>
      </c>
      <c r="M24" s="8">
        <f>IF(G24="",0,IF(G24="S",H24*((I24-J24)%),IF(G24="N",K24-L24,IF(G24&gt;0,H24*((I24-J24)%)))))</f>
        <v/>
      </c>
      <c r="N24" s="8" t="n"/>
      <c r="O24" s="8">
        <f>M24-N24</f>
        <v/>
      </c>
    </row>
    <row r="25" ht="18" customHeight="1">
      <c r="A25" s="6" t="n"/>
      <c r="B25" s="7" t="n"/>
      <c r="C25" s="7" t="n"/>
      <c r="D25" s="6" t="n"/>
      <c r="E25" s="8" t="n"/>
      <c r="F25" s="8" t="n"/>
      <c r="G25" s="6" t="n"/>
      <c r="H25" s="8">
        <f>IF(G25="",0,(IF(G25="N",((E25+F25)-(E25*J25%))/(1-(I25/100)),IF(G25="S",((E25+F25)/(1-(I25/100))),IF(G25&gt;0,((E25+F25)-(E25*G25))/(1-(I25/100)))))))</f>
        <v/>
      </c>
      <c r="I25" s="9" t="n"/>
      <c r="J25" s="9" t="n"/>
      <c r="K25" s="8">
        <f>H25*I25%</f>
        <v/>
      </c>
      <c r="L25" s="8">
        <f>E25*J25%</f>
        <v/>
      </c>
      <c r="M25" s="8">
        <f>IF(G25="",0,IF(G25="S",H25*((I25-J25)%),IF(G25="N",K25-L25,IF(G25&gt;0,H25*((I25-J25)%)))))</f>
        <v/>
      </c>
      <c r="N25" s="8" t="n"/>
      <c r="O25" s="8">
        <f>M25-N25</f>
        <v/>
      </c>
    </row>
    <row r="26" ht="18" customHeight="1">
      <c r="A26" s="6" t="n"/>
      <c r="B26" s="7" t="n"/>
      <c r="C26" s="7" t="n"/>
      <c r="D26" s="6" t="n"/>
      <c r="E26" s="8" t="n"/>
      <c r="F26" s="8" t="n"/>
      <c r="G26" s="6" t="n"/>
      <c r="H26" s="8">
        <f>IF(G26="",0,(IF(G26="N",((E26+F26)-(E26*J26%))/(1-(I26/100)),IF(G26="S",((E26+F26)/(1-(I26/100))),IF(G26&gt;0,((E26+F26)-(E26*G26))/(1-(I26/100)))))))</f>
        <v/>
      </c>
      <c r="I26" s="9" t="n"/>
      <c r="J26" s="9" t="n"/>
      <c r="K26" s="8">
        <f>H26*I26%</f>
        <v/>
      </c>
      <c r="L26" s="8">
        <f>E26*J26%</f>
        <v/>
      </c>
      <c r="M26" s="8">
        <f>IF(G26="",0,IF(G26="S",H26*((I26-J26)%),IF(G26="N",K26-L26,IF(G26&gt;0,H26*((I26-J26)%)))))</f>
        <v/>
      </c>
      <c r="N26" s="8" t="n"/>
      <c r="O26" s="8">
        <f>M26-N26</f>
        <v/>
      </c>
    </row>
    <row r="27" ht="18" customHeight="1">
      <c r="A27" s="6" t="n"/>
      <c r="B27" s="7" t="n"/>
      <c r="C27" s="7" t="n"/>
      <c r="D27" s="6" t="n"/>
      <c r="E27" s="8" t="n"/>
      <c r="F27" s="8" t="n"/>
      <c r="G27" s="6" t="n"/>
      <c r="H27" s="8">
        <f>IF(G27="",0,(IF(G27="N",((E27+F27)-(E27*J27%))/(1-(I27/100)),IF(G27="S",((E27+F27)/(1-(I27/100))),IF(G27&gt;0,((E27+F27)-(E27*G27))/(1-(I27/100)))))))</f>
        <v/>
      </c>
      <c r="I27" s="9" t="n"/>
      <c r="J27" s="9" t="n"/>
      <c r="K27" s="8">
        <f>H27*I27%</f>
        <v/>
      </c>
      <c r="L27" s="8">
        <f>E27*J27%</f>
        <v/>
      </c>
      <c r="M27" s="8">
        <f>IF(G27="",0,IF(G27="S",H27*((I27-J27)%),IF(G27="N",K27-L27,IF(G27&gt;0,H27*((I27-J27)%)))))</f>
        <v/>
      </c>
      <c r="N27" s="8" t="n"/>
      <c r="O27" s="8">
        <f>M27-N27</f>
        <v/>
      </c>
    </row>
    <row r="28" ht="18" customHeight="1">
      <c r="A28" s="6" t="n"/>
      <c r="B28" s="7" t="n"/>
      <c r="C28" s="7" t="n"/>
      <c r="D28" s="6" t="n"/>
      <c r="E28" s="8" t="n"/>
      <c r="F28" s="8" t="n"/>
      <c r="G28" s="6" t="n"/>
      <c r="H28" s="8">
        <f>IF(G28="",0,(IF(G28="N",((E28+F28)-(E28*J28%))/(1-(I28/100)),IF(G28="S",((E28+F28)/(1-(I28/100))),IF(G28&gt;0,((E28+F28)-(E28*G28))/(1-(I28/100)))))))</f>
        <v/>
      </c>
      <c r="I28" s="9" t="n"/>
      <c r="J28" s="9" t="n"/>
      <c r="K28" s="8">
        <f>H28*I28%</f>
        <v/>
      </c>
      <c r="L28" s="8">
        <f>E28*J28%</f>
        <v/>
      </c>
      <c r="M28" s="8">
        <f>IF(G28="",0,IF(G28="S",H28*((I28-J28)%),IF(G28="N",K28-L28,IF(G28&gt;0,H28*((I28-J28)%)))))</f>
        <v/>
      </c>
      <c r="N28" s="8" t="n"/>
      <c r="O28" s="8">
        <f>M28-N28</f>
        <v/>
      </c>
    </row>
    <row r="29" ht="18" customHeight="1">
      <c r="A29" s="6" t="n"/>
      <c r="B29" s="7" t="n"/>
      <c r="C29" s="7" t="n"/>
      <c r="D29" s="6" t="n"/>
      <c r="E29" s="8" t="n"/>
      <c r="F29" s="8" t="n"/>
      <c r="G29" s="6" t="n"/>
      <c r="H29" s="8">
        <f>IF(G29="",0,(IF(G29="N",((E29+F29)-(E29*J29%))/(1-(I29/100)),IF(G29="S",((E29+F29)/(1-(I29/100))),IF(G29&gt;0,((E29+F29)-(E29*G29))/(1-(I29/100)))))))</f>
        <v/>
      </c>
      <c r="I29" s="9" t="n"/>
      <c r="J29" s="9" t="n"/>
      <c r="K29" s="8">
        <f>H29*I29%</f>
        <v/>
      </c>
      <c r="L29" s="8">
        <f>E29*J29%</f>
        <v/>
      </c>
      <c r="M29" s="8">
        <f>IF(G29="",0,IF(G29="S",H29*((I29-J29)%),IF(G29="N",K29-L29,IF(G29&gt;0,H29*((I29-J29)%)))))</f>
        <v/>
      </c>
      <c r="N29" s="8" t="n"/>
      <c r="O29" s="8">
        <f>M29-N29</f>
        <v/>
      </c>
    </row>
    <row r="30" ht="18" customHeight="1">
      <c r="A30" s="6" t="n"/>
      <c r="B30" s="7" t="n"/>
      <c r="C30" s="7" t="n"/>
      <c r="D30" s="6" t="n"/>
      <c r="E30" s="8" t="n"/>
      <c r="F30" s="8" t="n"/>
      <c r="G30" s="6" t="n"/>
      <c r="H30" s="8">
        <f>IF(G30="",0,(IF(G30="N",((E30+F30)-(E30*J30%))/(1-(I30/100)),IF(G30="S",((E30+F30)/(1-(I30/100))),IF(G30&gt;0,((E30+F30)-(E30*G30))/(1-(I30/100)))))))</f>
        <v/>
      </c>
      <c r="I30" s="9" t="n"/>
      <c r="J30" s="9" t="n"/>
      <c r="K30" s="8">
        <f>H30*I30%</f>
        <v/>
      </c>
      <c r="L30" s="8">
        <f>E30*J30%</f>
        <v/>
      </c>
      <c r="M30" s="8">
        <f>IF(G30="",0,IF(G30="S",H30*((I30-J30)%),IF(G30="N",K30-L30,IF(G30&gt;0,H30*((I30-J30)%)))))</f>
        <v/>
      </c>
      <c r="N30" s="8" t="n"/>
      <c r="O30" s="8">
        <f>M30-N30</f>
        <v/>
      </c>
    </row>
    <row r="31" ht="18" customHeight="1">
      <c r="A31" s="6" t="n"/>
      <c r="B31" s="7" t="n"/>
      <c r="C31" s="7" t="n"/>
      <c r="D31" s="6" t="n"/>
      <c r="E31" s="8" t="n"/>
      <c r="F31" s="8" t="n"/>
      <c r="G31" s="6" t="n"/>
      <c r="H31" s="8">
        <f>IF(G31="",0,(IF(G31="N",((E31+F31)-(E31*J31%))/(1-(I31/100)),IF(G31="S",((E31+F31)/(1-(I31/100))),IF(G31&gt;0,((E31+F31)-(E31*G31))/(1-(I31/100)))))))</f>
        <v/>
      </c>
      <c r="I31" s="9" t="n"/>
      <c r="J31" s="9" t="n"/>
      <c r="K31" s="8">
        <f>H31*I31%</f>
        <v/>
      </c>
      <c r="L31" s="8">
        <f>E31*J31%</f>
        <v/>
      </c>
      <c r="M31" s="8">
        <f>IF(G31="",0,IF(G31="S",H31*((I31-J31)%),IF(G31="N",K31-L31,IF(G31&gt;0,H31*((I31-J31)%)))))</f>
        <v/>
      </c>
      <c r="N31" s="8" t="n"/>
      <c r="O31" s="8">
        <f>M31-N31</f>
        <v/>
      </c>
    </row>
    <row r="32" ht="18" customHeight="1">
      <c r="A32" s="6" t="n"/>
      <c r="B32" s="7" t="n"/>
      <c r="C32" s="7" t="n"/>
      <c r="D32" s="6" t="n"/>
      <c r="E32" s="8" t="n"/>
      <c r="F32" s="8" t="n"/>
      <c r="G32" s="6" t="n"/>
      <c r="H32" s="8">
        <f>IF(G32="",0,(IF(G32="N",((E32+F32)-(E32*J32%))/(1-(I32/100)),IF(G32="S",((E32+F32)/(1-(I32/100))),IF(G32&gt;0,((E32+F32)-(E32*G32))/(1-(I32/100)))))))</f>
        <v/>
      </c>
      <c r="I32" s="9" t="n"/>
      <c r="J32" s="9" t="n"/>
      <c r="K32" s="8">
        <f>H32*I32%</f>
        <v/>
      </c>
      <c r="L32" s="8">
        <f>E32*J32%</f>
        <v/>
      </c>
      <c r="M32" s="8">
        <f>IF(G32="",0,IF(G32="S",H32*((I32-J32)%),IF(G32="N",K32-L32,IF(G32&gt;0,H32*((I32-J32)%)))))</f>
        <v/>
      </c>
      <c r="N32" s="8" t="n"/>
      <c r="O32" s="8">
        <f>M32-N32</f>
        <v/>
      </c>
    </row>
    <row r="33" ht="18" customHeight="1">
      <c r="A33" s="6" t="n"/>
      <c r="B33" s="7" t="n"/>
      <c r="C33" s="7" t="n"/>
      <c r="D33" s="6" t="n"/>
      <c r="E33" s="8" t="n"/>
      <c r="F33" s="8" t="n"/>
      <c r="G33" s="6" t="n"/>
      <c r="H33" s="8">
        <f>IF(G33="",0,(IF(G33="N",((E33+F33)-(E33*J33%))/(1-(I33/100)),IF(G33="S",((E33+F33)/(1-(I33/100))),IF(G33&gt;0,((E33+F33)-(E33*G33))/(1-(I33/100)))))))</f>
        <v/>
      </c>
      <c r="I33" s="9" t="n"/>
      <c r="J33" s="9" t="n"/>
      <c r="K33" s="8">
        <f>H33*I33%</f>
        <v/>
      </c>
      <c r="L33" s="8">
        <f>E33*J33%</f>
        <v/>
      </c>
      <c r="M33" s="8">
        <f>IF(G33="",0,IF(G33="S",H33*((I33-J33)%),IF(G33="N",K33-L33,IF(G33&gt;0,H33*((I33-J33)%)))))</f>
        <v/>
      </c>
      <c r="N33" s="8" t="n"/>
      <c r="O33" s="8">
        <f>M33-N33</f>
        <v/>
      </c>
    </row>
    <row r="34" ht="18" customHeight="1">
      <c r="A34" s="6" t="n"/>
      <c r="B34" s="7" t="n"/>
      <c r="C34" s="7" t="n"/>
      <c r="D34" s="6" t="n"/>
      <c r="E34" s="8" t="n"/>
      <c r="F34" s="8" t="n"/>
      <c r="G34" s="6" t="n"/>
      <c r="H34" s="8">
        <f>IF(G34="",0,(IF(G34="N",((E34+F34)-(E34*J34%))/(1-(I34/100)),IF(G34="S",((E34+F34)/(1-(I34/100))),IF(G34&gt;0,((E34+F34)-(E34*G34))/(1-(I34/100)))))))</f>
        <v/>
      </c>
      <c r="I34" s="9" t="n"/>
      <c r="J34" s="9" t="n"/>
      <c r="K34" s="8">
        <f>H34*I34%</f>
        <v/>
      </c>
      <c r="L34" s="8">
        <f>E34*J34%</f>
        <v/>
      </c>
      <c r="M34" s="8">
        <f>IF(G34="",0,IF(G34="S",H34*((I34-J34)%),IF(G34="N",K34-L34,IF(G34&gt;0,H34*((I34-J34)%)))))</f>
        <v/>
      </c>
      <c r="N34" s="8" t="n"/>
      <c r="O34" s="8">
        <f>M34-N34</f>
        <v/>
      </c>
    </row>
    <row r="35" ht="18" customHeight="1">
      <c r="A35" s="6" t="n"/>
      <c r="B35" s="7" t="n"/>
      <c r="C35" s="7" t="n"/>
      <c r="D35" s="6" t="n"/>
      <c r="E35" s="8" t="n"/>
      <c r="F35" s="8" t="n"/>
      <c r="G35" s="6" t="n"/>
      <c r="H35" s="8">
        <f>IF(G35="",0,(IF(G35="N",((E35+F35)-(E35*J35%))/(1-(I35/100)),IF(G35="S",((E35+F35)/(1-(I35/100))),IF(G35&gt;0,((E35+F35)-(E35*G35))/(1-(I35/100)))))))</f>
        <v/>
      </c>
      <c r="I35" s="9" t="n"/>
      <c r="J35" s="9" t="n"/>
      <c r="K35" s="8">
        <f>H35*I35%</f>
        <v/>
      </c>
      <c r="L35" s="8">
        <f>E35*J35%</f>
        <v/>
      </c>
      <c r="M35" s="8">
        <f>IF(G35="",0,IF(G35="S",H35*((I35-J35)%),IF(G35="N",K35-L35,IF(G35&gt;0,H35*((I35-J35)%)))))</f>
        <v/>
      </c>
      <c r="N35" s="8" t="n"/>
      <c r="O35" s="8">
        <f>M35-N35</f>
        <v/>
      </c>
    </row>
    <row r="36" ht="18" customHeight="1">
      <c r="A36" s="6" t="n"/>
      <c r="B36" s="7" t="n"/>
      <c r="C36" s="7" t="n"/>
      <c r="D36" s="6" t="n"/>
      <c r="E36" s="8" t="n"/>
      <c r="F36" s="8" t="n"/>
      <c r="G36" s="6" t="n"/>
      <c r="H36" s="8">
        <f>IF(G36="",0,(IF(G36="N",((E36+F36)-(E36*J36%))/(1-(I36/100)),IF(G36="S",((E36+F36)/(1-(I36/100))),IF(G36&gt;0,((E36+F36)-(E36*G36))/(1-(I36/100)))))))</f>
        <v/>
      </c>
      <c r="I36" s="9" t="n"/>
      <c r="J36" s="9" t="n"/>
      <c r="K36" s="8">
        <f>H36*I36%</f>
        <v/>
      </c>
      <c r="L36" s="8">
        <f>E36*J36%</f>
        <v/>
      </c>
      <c r="M36" s="8">
        <f>IF(G36="",0,IF(G36="S",H36*((I36-J36)%),IF(G36="N",K36-L36,IF(G36&gt;0,H36*((I36-J36)%)))))</f>
        <v/>
      </c>
      <c r="N36" s="8" t="n"/>
      <c r="O36" s="8">
        <f>M36-N36</f>
        <v/>
      </c>
    </row>
    <row r="37" ht="18" customHeight="1">
      <c r="A37" s="6" t="n"/>
      <c r="B37" s="7" t="n"/>
      <c r="C37" s="7" t="n"/>
      <c r="D37" s="6" t="n"/>
      <c r="E37" s="8" t="n"/>
      <c r="F37" s="8" t="n"/>
      <c r="G37" s="6" t="n"/>
      <c r="H37" s="8">
        <f>IF(G37="",0,(IF(G37="N",((E37+F37)-(E37*J37%))/(1-(I37/100)),IF(G37="S",((E37+F37)/(1-(I37/100))),IF(G37&gt;0,((E37+F37)-(E37*G37))/(1-(I37/100)))))))</f>
        <v/>
      </c>
      <c r="I37" s="9" t="n"/>
      <c r="J37" s="9" t="n"/>
      <c r="K37" s="8">
        <f>H37*I37%</f>
        <v/>
      </c>
      <c r="L37" s="8">
        <f>E37*J37%</f>
        <v/>
      </c>
      <c r="M37" s="8">
        <f>IF(G37="",0,IF(G37="S",H37*((I37-J37)%),IF(G37="N",K37-L37,IF(G37&gt;0,H37*((I37-J37)%)))))</f>
        <v/>
      </c>
      <c r="N37" s="8" t="n"/>
      <c r="O37" s="8">
        <f>M37-N37</f>
        <v/>
      </c>
    </row>
    <row r="38" ht="18" customHeight="1">
      <c r="A38" s="6" t="n"/>
      <c r="B38" s="7" t="n"/>
      <c r="C38" s="7" t="n"/>
      <c r="D38" s="6" t="n"/>
      <c r="E38" s="8" t="n"/>
      <c r="F38" s="8" t="n"/>
      <c r="G38" s="6" t="n"/>
      <c r="H38" s="8">
        <f>IF(G38="",0,(IF(G38="N",((E38+F38)-(E38*J38%))/(1-(I38/100)),IF(G38="S",((E38+F38)/(1-(I38/100))),IF(G38&gt;0,((E38+F38)-(E38*G38))/(1-(I38/100)))))))</f>
        <v/>
      </c>
      <c r="I38" s="9" t="n"/>
      <c r="J38" s="9" t="n"/>
      <c r="K38" s="8">
        <f>H38*I38%</f>
        <v/>
      </c>
      <c r="L38" s="8">
        <f>E38*J38%</f>
        <v/>
      </c>
      <c r="M38" s="8">
        <f>IF(G38="",0,IF(G38="S",H38*((I38-J38)%),IF(G38="N",K38-L38,IF(G38&gt;0,H38*((I38-J38)%)))))</f>
        <v/>
      </c>
      <c r="N38" s="8" t="n"/>
      <c r="O38" s="8">
        <f>M38-N38</f>
        <v/>
      </c>
    </row>
    <row r="39" ht="20" customHeight="1">
      <c r="A39" s="10" t="n"/>
      <c r="B39" s="10" t="n"/>
      <c r="C39" s="10" t="n"/>
      <c r="D39" s="11" t="inlineStr">
        <is>
          <t>TOTAL</t>
        </is>
      </c>
      <c r="E39" s="12">
        <f>SUM(E4:E38)</f>
        <v/>
      </c>
      <c r="F39" s="12">
        <f>SUM(F4:F38)</f>
        <v/>
      </c>
      <c r="G39" s="10" t="n"/>
      <c r="H39" s="12">
        <f>SUM(H4:H38)</f>
        <v/>
      </c>
      <c r="I39" s="10" t="n"/>
      <c r="J39" s="10" t="n"/>
      <c r="K39" s="12">
        <f>SUM(K4:K38)</f>
        <v/>
      </c>
      <c r="L39" s="12">
        <f>SUM(L4:L38)</f>
        <v/>
      </c>
      <c r="M39" s="12">
        <f>SUM(M4:M38)</f>
        <v/>
      </c>
      <c r="N39" s="12">
        <f>SUM(N4:N38)</f>
        <v/>
      </c>
      <c r="O39" s="12">
        <f>SUM(O4:O38)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cols>
    <col width="4.5" customWidth="1" min="1" max="1"/>
    <col width="13" customWidth="1" min="2" max="2"/>
    <col width="14" customWidth="1" min="3" max="3"/>
    <col width="12" customWidth="1" min="4" max="4"/>
    <col width="15" customWidth="1" min="5" max="5"/>
    <col width="14" customWidth="1" min="6" max="6"/>
    <col width="14" customWidth="1" min="7" max="7"/>
    <col width="15" customWidth="1" min="8" max="8"/>
    <col width="10" customWidth="1" min="9" max="9"/>
    <col width="10" customWidth="1" min="10" max="10"/>
    <col width="15" customWidth="1" min="11" max="11"/>
    <col width="14" customWidth="1" min="12" max="12"/>
    <col width="16" customWidth="1" min="13" max="13"/>
    <col width="14" customWidth="1" min="14" max="14"/>
    <col width="16" customWidth="1" min="15" max="15"/>
  </cols>
  <sheetData>
    <row r="1" ht="24" customHeight="1">
      <c r="E1" s="1" t="inlineStr">
        <is>
          <t>CÁLCULO DIFERENCIAL DE ALÍQUOTA</t>
        </is>
      </c>
      <c r="N1" s="2" t="inlineStr">
        <is>
          <t>Código: RP-158                        Revisão: 00</t>
        </is>
      </c>
    </row>
    <row r="2" ht="20" customHeight="1">
      <c r="A2" s="3" t="inlineStr">
        <is>
          <t>Empresa:                                                                  I.E.:                                 Comp: 12/2026</t>
        </is>
      </c>
    </row>
    <row r="3" ht="28" customHeight="1">
      <c r="A3" s="4" t="inlineStr"/>
      <c r="B3" s="4" t="inlineStr">
        <is>
          <t>DATA ENTRADA</t>
        </is>
      </c>
      <c r="C3" s="4" t="inlineStr">
        <is>
          <t>DATA EMISSÃO</t>
        </is>
      </c>
      <c r="D3" s="4" t="inlineStr">
        <is>
          <t>N.  FISCAL</t>
        </is>
      </c>
      <c r="E3" s="5" t="inlineStr">
        <is>
          <t xml:space="preserve">   V. CONTÁBIL</t>
        </is>
      </c>
      <c r="F3" s="5" t="inlineStr">
        <is>
          <t xml:space="preserve"> IPI + DESP</t>
        </is>
      </c>
      <c r="G3" s="4" t="inlineStr">
        <is>
          <t>ALIQ. SIMPLES</t>
        </is>
      </c>
      <c r="H3" s="5" t="inlineStr">
        <is>
          <t>B.CÁLCULO</t>
        </is>
      </c>
      <c r="I3" s="5" t="inlineStr">
        <is>
          <t xml:space="preserve">  A. DST</t>
        </is>
      </c>
      <c r="J3" s="5" t="inlineStr">
        <is>
          <t xml:space="preserve">  A.ORI</t>
        </is>
      </c>
      <c r="K3" s="5" t="inlineStr">
        <is>
          <t>DÉBITO</t>
        </is>
      </c>
      <c r="L3" s="5" t="inlineStr">
        <is>
          <t>CRÉDITO</t>
        </is>
      </c>
      <c r="M3" s="5" t="inlineStr">
        <is>
          <t>VR.DEVIDO</t>
        </is>
      </c>
      <c r="N3" s="5" t="inlineStr">
        <is>
          <t>VR. PAGO</t>
        </is>
      </c>
      <c r="O3" s="5" t="inlineStr">
        <is>
          <t>DIFER.</t>
        </is>
      </c>
    </row>
    <row r="4" ht="18" customHeight="1">
      <c r="A4" s="6" t="n"/>
      <c r="B4" s="7" t="n"/>
      <c r="C4" s="7" t="n"/>
      <c r="D4" s="6" t="n"/>
      <c r="E4" s="8" t="n"/>
      <c r="F4" s="8" t="n"/>
      <c r="G4" s="6" t="n"/>
      <c r="H4" s="8">
        <f>IF(G4="",0,(IF(G4="N",((E4+F4)-(E4*J4%))/(1-(I4/100)),IF(G4="S",((E4+F4)/(1-(I4/100))),IF(G4&gt;0,((E4+F4)-(E4*G4))/(1-(I4/100)))))))</f>
        <v/>
      </c>
      <c r="I4" s="9" t="n"/>
      <c r="J4" s="9" t="n"/>
      <c r="K4" s="8">
        <f>H4*I4%</f>
        <v/>
      </c>
      <c r="L4" s="8">
        <f>E4*J4%</f>
        <v/>
      </c>
      <c r="M4" s="8">
        <f>IF(G4="",0,IF(G4="S",H4*((I4-J4)%),IF(G4="N",K4-L4,IF(G4&gt;0,H4*((I4-J4)%)))))</f>
        <v/>
      </c>
      <c r="N4" s="8" t="n"/>
      <c r="O4" s="8">
        <f>M4-N4</f>
        <v/>
      </c>
    </row>
    <row r="5" ht="18" customHeight="1">
      <c r="A5" s="6" t="n"/>
      <c r="B5" s="7" t="n"/>
      <c r="C5" s="7" t="n"/>
      <c r="D5" s="6" t="n"/>
      <c r="E5" s="8" t="n"/>
      <c r="F5" s="8" t="n"/>
      <c r="G5" s="6" t="n"/>
      <c r="H5" s="8">
        <f>IF(G5="",0,(IF(G5="N",((E5+F5)-(E5*J5%))/(1-(I5/100)),IF(G5="S",((E5+F5)/(1-(I5/100))),IF(G5&gt;0,((E5+F5)-(E5*G5))/(1-(I5/100)))))))</f>
        <v/>
      </c>
      <c r="I5" s="9" t="n"/>
      <c r="J5" s="9" t="n"/>
      <c r="K5" s="8">
        <f>H5*I5%</f>
        <v/>
      </c>
      <c r="L5" s="8">
        <f>E5*J5%</f>
        <v/>
      </c>
      <c r="M5" s="8">
        <f>IF(G5="",0,IF(G5="S",H5*((I5-J5)%),IF(G5="N",K5-L5,IF(G5&gt;0,H5*((I5-J5)%)))))</f>
        <v/>
      </c>
      <c r="N5" s="8" t="n"/>
      <c r="O5" s="8">
        <f>M5-N5</f>
        <v/>
      </c>
    </row>
    <row r="6" ht="18" customHeight="1">
      <c r="A6" s="6" t="n"/>
      <c r="B6" s="7" t="n"/>
      <c r="C6" s="7" t="n"/>
      <c r="D6" s="6" t="n"/>
      <c r="E6" s="8" t="n"/>
      <c r="F6" s="8" t="n"/>
      <c r="G6" s="6" t="n"/>
      <c r="H6" s="8">
        <f>IF(G6="",0,(IF(G6="N",((E6+F6)-(E6*J6%))/(1-(I6/100)),IF(G6="S",((E6+F6)/(1-(I6/100))),IF(G6&gt;0,((E6+F6)-(E6*G6))/(1-(I6/100)))))))</f>
        <v/>
      </c>
      <c r="I6" s="9" t="n"/>
      <c r="J6" s="9" t="n"/>
      <c r="K6" s="8">
        <f>H6*I6%</f>
        <v/>
      </c>
      <c r="L6" s="8">
        <f>E6*J6%</f>
        <v/>
      </c>
      <c r="M6" s="8">
        <f>IF(G6="",0,IF(G6="S",H6*((I6-J6)%),IF(G6="N",K6-L6,IF(G6&gt;0,H6*((I6-J6)%)))))</f>
        <v/>
      </c>
      <c r="N6" s="8" t="n"/>
      <c r="O6" s="8">
        <f>M6-N6</f>
        <v/>
      </c>
    </row>
    <row r="7" ht="18" customHeight="1">
      <c r="A7" s="6" t="n"/>
      <c r="B7" s="7" t="n"/>
      <c r="C7" s="7" t="n"/>
      <c r="D7" s="6" t="n"/>
      <c r="E7" s="8" t="n"/>
      <c r="F7" s="8" t="n"/>
      <c r="G7" s="6" t="n"/>
      <c r="H7" s="8">
        <f>IF(G7="",0,(IF(G7="N",((E7+F7)-(E7*J7%))/(1-(I7/100)),IF(G7="S",((E7+F7)/(1-(I7/100))),IF(G7&gt;0,((E7+F7)-(E7*G7))/(1-(I7/100)))))))</f>
        <v/>
      </c>
      <c r="I7" s="9" t="n"/>
      <c r="J7" s="9" t="n"/>
      <c r="K7" s="8">
        <f>H7*I7%</f>
        <v/>
      </c>
      <c r="L7" s="8">
        <f>E7*J7%</f>
        <v/>
      </c>
      <c r="M7" s="8">
        <f>IF(G7="",0,IF(G7="S",H7*((I7-J7)%),IF(G7="N",K7-L7,IF(G7&gt;0,H7*((I7-J7)%)))))</f>
        <v/>
      </c>
      <c r="N7" s="8" t="n"/>
      <c r="O7" s="8">
        <f>M7-N7</f>
        <v/>
      </c>
    </row>
    <row r="8" ht="18" customHeight="1">
      <c r="A8" s="6" t="n"/>
      <c r="B8" s="7" t="n"/>
      <c r="C8" s="7" t="n"/>
      <c r="D8" s="6" t="n"/>
      <c r="E8" s="8" t="n"/>
      <c r="F8" s="8" t="n"/>
      <c r="G8" s="6" t="n"/>
      <c r="H8" s="8">
        <f>IF(G8="",0,(IF(G8="N",((E8+F8)-(E8*J8%))/(1-(I8/100)),IF(G8="S",((E8+F8)/(1-(I8/100))),IF(G8&gt;0,((E8+F8)-(E8*G8))/(1-(I8/100)))))))</f>
        <v/>
      </c>
      <c r="I8" s="9" t="n"/>
      <c r="J8" s="9" t="n"/>
      <c r="K8" s="8">
        <f>H8*I8%</f>
        <v/>
      </c>
      <c r="L8" s="8">
        <f>E8*J8%</f>
        <v/>
      </c>
      <c r="M8" s="8">
        <f>IF(G8="",0,IF(G8="S",H8*((I8-J8)%),IF(G8="N",K8-L8,IF(G8&gt;0,H8*((I8-J8)%)))))</f>
        <v/>
      </c>
      <c r="N8" s="8" t="n"/>
      <c r="O8" s="8">
        <f>M8-N8</f>
        <v/>
      </c>
    </row>
    <row r="9" ht="18" customHeight="1">
      <c r="A9" s="6" t="n"/>
      <c r="B9" s="7" t="n"/>
      <c r="C9" s="7" t="n"/>
      <c r="D9" s="6" t="n"/>
      <c r="E9" s="8" t="n"/>
      <c r="F9" s="8" t="n"/>
      <c r="G9" s="6" t="n"/>
      <c r="H9" s="8">
        <f>IF(G9="",0,(IF(G9="N",((E9+F9)-(E9*J9%))/(1-(I9/100)),IF(G9="S",((E9+F9)/(1-(I9/100))),IF(G9&gt;0,((E9+F9)-(E9*G9))/(1-(I9/100)))))))</f>
        <v/>
      </c>
      <c r="I9" s="9" t="n"/>
      <c r="J9" s="9" t="n"/>
      <c r="K9" s="8">
        <f>H9*I9%</f>
        <v/>
      </c>
      <c r="L9" s="8">
        <f>E9*J9%</f>
        <v/>
      </c>
      <c r="M9" s="8">
        <f>IF(G9="",0,IF(G9="S",H9*((I9-J9)%),IF(G9="N",K9-L9,IF(G9&gt;0,H9*((I9-J9)%)))))</f>
        <v/>
      </c>
      <c r="N9" s="8" t="n"/>
      <c r="O9" s="8">
        <f>M9-N9</f>
        <v/>
      </c>
    </row>
    <row r="10" ht="18" customHeight="1">
      <c r="A10" s="6" t="n"/>
      <c r="B10" s="7" t="n"/>
      <c r="C10" s="7" t="n"/>
      <c r="D10" s="6" t="n"/>
      <c r="E10" s="8" t="n"/>
      <c r="F10" s="8" t="n"/>
      <c r="G10" s="6" t="n"/>
      <c r="H10" s="8">
        <f>IF(G10="",0,(IF(G10="N",((E10+F10)-(E10*J10%))/(1-(I10/100)),IF(G10="S",((E10+F10)/(1-(I10/100))),IF(G10&gt;0,((E10+F10)-(E10*G10))/(1-(I10/100)))))))</f>
        <v/>
      </c>
      <c r="I10" s="9" t="n"/>
      <c r="J10" s="9" t="n"/>
      <c r="K10" s="8">
        <f>H10*I10%</f>
        <v/>
      </c>
      <c r="L10" s="8">
        <f>E10*J10%</f>
        <v/>
      </c>
      <c r="M10" s="8">
        <f>IF(G10="",0,IF(G10="S",H10*((I10-J10)%),IF(G10="N",K10-L10,IF(G10&gt;0,H10*((I10-J10)%)))))</f>
        <v/>
      </c>
      <c r="N10" s="8" t="n"/>
      <c r="O10" s="8">
        <f>M10-N10</f>
        <v/>
      </c>
    </row>
    <row r="11" ht="18" customHeight="1">
      <c r="A11" s="6" t="n"/>
      <c r="B11" s="7" t="n"/>
      <c r="C11" s="7" t="n"/>
      <c r="D11" s="6" t="n"/>
      <c r="E11" s="8" t="n"/>
      <c r="F11" s="8" t="n"/>
      <c r="G11" s="6" t="n"/>
      <c r="H11" s="8">
        <f>IF(G11="",0,(IF(G11="N",((E11+F11)-(E11*J11%))/(1-(I11/100)),IF(G11="S",((E11+F11)/(1-(I11/100))),IF(G11&gt;0,((E11+F11)-(E11*G11))/(1-(I11/100)))))))</f>
        <v/>
      </c>
      <c r="I11" s="9" t="n"/>
      <c r="J11" s="9" t="n"/>
      <c r="K11" s="8">
        <f>H11*I11%</f>
        <v/>
      </c>
      <c r="L11" s="8">
        <f>E11*J11%</f>
        <v/>
      </c>
      <c r="M11" s="8">
        <f>IF(G11="",0,IF(G11="S",H11*((I11-J11)%),IF(G11="N",K11-L11,IF(G11&gt;0,H11*((I11-J11)%)))))</f>
        <v/>
      </c>
      <c r="N11" s="8" t="n"/>
      <c r="O11" s="8">
        <f>M11-N11</f>
        <v/>
      </c>
    </row>
    <row r="12" ht="18" customHeight="1">
      <c r="A12" s="6" t="n"/>
      <c r="B12" s="7" t="n"/>
      <c r="C12" s="7" t="n"/>
      <c r="D12" s="6" t="n"/>
      <c r="E12" s="8" t="n"/>
      <c r="F12" s="8" t="n"/>
      <c r="G12" s="6" t="n"/>
      <c r="H12" s="8">
        <f>IF(G12="",0,(IF(G12="N",((E12+F12)-(E12*J12%))/(1-(I12/100)),IF(G12="S",((E12+F12)/(1-(I12/100))),IF(G12&gt;0,((E12+F12)-(E12*G12))/(1-(I12/100)))))))</f>
        <v/>
      </c>
      <c r="I12" s="9" t="n"/>
      <c r="J12" s="9" t="n"/>
      <c r="K12" s="8">
        <f>H12*I12%</f>
        <v/>
      </c>
      <c r="L12" s="8">
        <f>E12*J12%</f>
        <v/>
      </c>
      <c r="M12" s="8">
        <f>IF(G12="",0,IF(G12="S",H12*((I12-J12)%),IF(G12="N",K12-L12,IF(G12&gt;0,H12*((I12-J12)%)))))</f>
        <v/>
      </c>
      <c r="N12" s="8" t="n"/>
      <c r="O12" s="8">
        <f>M12-N12</f>
        <v/>
      </c>
    </row>
    <row r="13" ht="18" customHeight="1">
      <c r="A13" s="6" t="n"/>
      <c r="B13" s="7" t="n"/>
      <c r="C13" s="7" t="n"/>
      <c r="D13" s="6" t="n"/>
      <c r="E13" s="8" t="n"/>
      <c r="F13" s="8" t="n"/>
      <c r="G13" s="6" t="n"/>
      <c r="H13" s="8">
        <f>IF(G13="",0,(IF(G13="N",((E13+F13)-(E13*J13%))/(1-(I13/100)),IF(G13="S",((E13+F13)/(1-(I13/100))),IF(G13&gt;0,((E13+F13)-(E13*G13))/(1-(I13/100)))))))</f>
        <v/>
      </c>
      <c r="I13" s="9" t="n"/>
      <c r="J13" s="9" t="n"/>
      <c r="K13" s="8">
        <f>H13*I13%</f>
        <v/>
      </c>
      <c r="L13" s="8">
        <f>E13*J13%</f>
        <v/>
      </c>
      <c r="M13" s="8">
        <f>IF(G13="",0,IF(G13="S",H13*((I13-J13)%),IF(G13="N",K13-L13,IF(G13&gt;0,H13*((I13-J13)%)))))</f>
        <v/>
      </c>
      <c r="N13" s="8" t="n"/>
      <c r="O13" s="8">
        <f>M13-N13</f>
        <v/>
      </c>
    </row>
    <row r="14" ht="18" customHeight="1">
      <c r="A14" s="6" t="n"/>
      <c r="B14" s="7" t="n"/>
      <c r="C14" s="7" t="n"/>
      <c r="D14" s="6" t="n"/>
      <c r="E14" s="8" t="n"/>
      <c r="F14" s="8" t="n"/>
      <c r="G14" s="6" t="n"/>
      <c r="H14" s="8">
        <f>IF(G14="",0,(IF(G14="N",((E14+F14)-(E14*J14%))/(1-(I14/100)),IF(G14="S",((E14+F14)/(1-(I14/100))),IF(G14&gt;0,((E14+F14)-(E14*G14))/(1-(I14/100)))))))</f>
        <v/>
      </c>
      <c r="I14" s="9" t="n"/>
      <c r="J14" s="9" t="n"/>
      <c r="K14" s="8">
        <f>H14*I14%</f>
        <v/>
      </c>
      <c r="L14" s="8">
        <f>E14*J14%</f>
        <v/>
      </c>
      <c r="M14" s="8">
        <f>IF(G14="",0,IF(G14="S",H14*((I14-J14)%),IF(G14="N",K14-L14,IF(G14&gt;0,H14*((I14-J14)%)))))</f>
        <v/>
      </c>
      <c r="N14" s="8" t="n"/>
      <c r="O14" s="8">
        <f>M14-N14</f>
        <v/>
      </c>
    </row>
    <row r="15" ht="18" customHeight="1">
      <c r="A15" s="6" t="n"/>
      <c r="B15" s="7" t="n"/>
      <c r="C15" s="7" t="n"/>
      <c r="D15" s="6" t="n"/>
      <c r="E15" s="8" t="n"/>
      <c r="F15" s="8" t="n"/>
      <c r="G15" s="6" t="n"/>
      <c r="H15" s="8">
        <f>IF(G15="",0,(IF(G15="N",((E15+F15)-(E15*J15%))/(1-(I15/100)),IF(G15="S",((E15+F15)/(1-(I15/100))),IF(G15&gt;0,((E15+F15)-(E15*G15))/(1-(I15/100)))))))</f>
        <v/>
      </c>
      <c r="I15" s="9" t="n"/>
      <c r="J15" s="9" t="n"/>
      <c r="K15" s="8">
        <f>H15*I15%</f>
        <v/>
      </c>
      <c r="L15" s="8">
        <f>E15*J15%</f>
        <v/>
      </c>
      <c r="M15" s="8">
        <f>IF(G15="",0,IF(G15="S",H15*((I15-J15)%),IF(G15="N",K15-L15,IF(G15&gt;0,H15*((I15-J15)%)))))</f>
        <v/>
      </c>
      <c r="N15" s="8" t="n"/>
      <c r="O15" s="8">
        <f>M15-N15</f>
        <v/>
      </c>
    </row>
    <row r="16" ht="18" customHeight="1">
      <c r="A16" s="6" t="n"/>
      <c r="B16" s="7" t="n"/>
      <c r="C16" s="7" t="n"/>
      <c r="D16" s="6" t="n"/>
      <c r="E16" s="8" t="n"/>
      <c r="F16" s="8" t="n"/>
      <c r="G16" s="6" t="n"/>
      <c r="H16" s="8">
        <f>IF(G16="",0,(IF(G16="N",((E16+F16)-(E16*J16%))/(1-(I16/100)),IF(G16="S",((E16+F16)/(1-(I16/100))),IF(G16&gt;0,((E16+F16)-(E16*G16))/(1-(I16/100)))))))</f>
        <v/>
      </c>
      <c r="I16" s="9" t="n"/>
      <c r="J16" s="9" t="n"/>
      <c r="K16" s="8">
        <f>H16*I16%</f>
        <v/>
      </c>
      <c r="L16" s="8">
        <f>E16*J16%</f>
        <v/>
      </c>
      <c r="M16" s="8">
        <f>IF(G16="",0,IF(G16="S",H16*((I16-J16)%),IF(G16="N",K16-L16,IF(G16&gt;0,H16*((I16-J16)%)))))</f>
        <v/>
      </c>
      <c r="N16" s="8" t="n"/>
      <c r="O16" s="8">
        <f>M16-N16</f>
        <v/>
      </c>
    </row>
    <row r="17" ht="18" customHeight="1">
      <c r="A17" s="6" t="n"/>
      <c r="B17" s="7" t="n"/>
      <c r="C17" s="7" t="n"/>
      <c r="D17" s="6" t="n"/>
      <c r="E17" s="8" t="n"/>
      <c r="F17" s="8" t="n"/>
      <c r="G17" s="6" t="n"/>
      <c r="H17" s="8">
        <f>IF(G17="",0,(IF(G17="N",((E17+F17)-(E17*J17%))/(1-(I17/100)),IF(G17="S",((E17+F17)/(1-(I17/100))),IF(G17&gt;0,((E17+F17)-(E17*G17))/(1-(I17/100)))))))</f>
        <v/>
      </c>
      <c r="I17" s="9" t="n"/>
      <c r="J17" s="9" t="n"/>
      <c r="K17" s="8">
        <f>H17*I17%</f>
        <v/>
      </c>
      <c r="L17" s="8">
        <f>E17*J17%</f>
        <v/>
      </c>
      <c r="M17" s="8">
        <f>IF(G17="",0,IF(G17="S",H17*((I17-J17)%),IF(G17="N",K17-L17,IF(G17&gt;0,H17*((I17-J17)%)))))</f>
        <v/>
      </c>
      <c r="N17" s="8" t="n"/>
      <c r="O17" s="8">
        <f>M17-N17</f>
        <v/>
      </c>
    </row>
    <row r="18" ht="18" customHeight="1">
      <c r="A18" s="6" t="n"/>
      <c r="B18" s="7" t="n"/>
      <c r="C18" s="7" t="n"/>
      <c r="D18" s="6" t="n"/>
      <c r="E18" s="8" t="n"/>
      <c r="F18" s="8" t="n"/>
      <c r="G18" s="6" t="n"/>
      <c r="H18" s="8">
        <f>IF(G18="",0,(IF(G18="N",((E18+F18)-(E18*J18%))/(1-(I18/100)),IF(G18="S",((E18+F18)/(1-(I18/100))),IF(G18&gt;0,((E18+F18)-(E18*G18))/(1-(I18/100)))))))</f>
        <v/>
      </c>
      <c r="I18" s="9" t="n"/>
      <c r="J18" s="9" t="n"/>
      <c r="K18" s="8">
        <f>H18*I18%</f>
        <v/>
      </c>
      <c r="L18" s="8">
        <f>E18*J18%</f>
        <v/>
      </c>
      <c r="M18" s="8">
        <f>IF(G18="",0,IF(G18="S",H18*((I18-J18)%),IF(G18="N",K18-L18,IF(G18&gt;0,H18*((I18-J18)%)))))</f>
        <v/>
      </c>
      <c r="N18" s="8" t="n"/>
      <c r="O18" s="8">
        <f>M18-N18</f>
        <v/>
      </c>
    </row>
    <row r="19" ht="18" customHeight="1">
      <c r="A19" s="6" t="n"/>
      <c r="B19" s="7" t="n"/>
      <c r="C19" s="7" t="n"/>
      <c r="D19" s="6" t="n"/>
      <c r="E19" s="8" t="n"/>
      <c r="F19" s="8" t="n"/>
      <c r="G19" s="6" t="n"/>
      <c r="H19" s="8">
        <f>IF(G19="",0,(IF(G19="N",((E19+F19)-(E19*J19%))/(1-(I19/100)),IF(G19="S",((E19+F19)/(1-(I19/100))),IF(G19&gt;0,((E19+F19)-(E19*G19))/(1-(I19/100)))))))</f>
        <v/>
      </c>
      <c r="I19" s="9" t="n"/>
      <c r="J19" s="9" t="n"/>
      <c r="K19" s="8">
        <f>H19*I19%</f>
        <v/>
      </c>
      <c r="L19" s="8">
        <f>E19*J19%</f>
        <v/>
      </c>
      <c r="M19" s="8">
        <f>IF(G19="",0,IF(G19="S",H19*((I19-J19)%),IF(G19="N",K19-L19,IF(G19&gt;0,H19*((I19-J19)%)))))</f>
        <v/>
      </c>
      <c r="N19" s="8" t="n"/>
      <c r="O19" s="8">
        <f>M19-N19</f>
        <v/>
      </c>
    </row>
    <row r="20" ht="18" customHeight="1">
      <c r="A20" s="6" t="n"/>
      <c r="B20" s="7" t="n"/>
      <c r="C20" s="7" t="n"/>
      <c r="D20" s="6" t="n"/>
      <c r="E20" s="8" t="n"/>
      <c r="F20" s="8" t="n"/>
      <c r="G20" s="6" t="n"/>
      <c r="H20" s="8">
        <f>IF(G20="",0,(IF(G20="N",((E20+F20)-(E20*J20%))/(1-(I20/100)),IF(G20="S",((E20+F20)/(1-(I20/100))),IF(G20&gt;0,((E20+F20)-(E20*G20))/(1-(I20/100)))))))</f>
        <v/>
      </c>
      <c r="I20" s="9" t="n"/>
      <c r="J20" s="9" t="n"/>
      <c r="K20" s="8">
        <f>H20*I20%</f>
        <v/>
      </c>
      <c r="L20" s="8">
        <f>E20*J20%</f>
        <v/>
      </c>
      <c r="M20" s="8">
        <f>IF(G20="",0,IF(G20="S",H20*((I20-J20)%),IF(G20="N",K20-L20,IF(G20&gt;0,H20*((I20-J20)%)))))</f>
        <v/>
      </c>
      <c r="N20" s="8" t="n"/>
      <c r="O20" s="8">
        <f>M20-N20</f>
        <v/>
      </c>
    </row>
    <row r="21" ht="18" customHeight="1">
      <c r="A21" s="6" t="n"/>
      <c r="B21" s="7" t="n"/>
      <c r="C21" s="7" t="n"/>
      <c r="D21" s="6" t="n"/>
      <c r="E21" s="8" t="n"/>
      <c r="F21" s="8" t="n"/>
      <c r="G21" s="6" t="n"/>
      <c r="H21" s="8">
        <f>IF(G21="",0,(IF(G21="N",((E21+F21)-(E21*J21%))/(1-(I21/100)),IF(G21="S",((E21+F21)/(1-(I21/100))),IF(G21&gt;0,((E21+F21)-(E21*G21))/(1-(I21/100)))))))</f>
        <v/>
      </c>
      <c r="I21" s="9" t="n"/>
      <c r="J21" s="9" t="n"/>
      <c r="K21" s="8">
        <f>H21*I21%</f>
        <v/>
      </c>
      <c r="L21" s="8">
        <f>E21*J21%</f>
        <v/>
      </c>
      <c r="M21" s="8">
        <f>IF(G21="",0,IF(G21="S",H21*((I21-J21)%),IF(G21="N",K21-L21,IF(G21&gt;0,H21*((I21-J21)%)))))</f>
        <v/>
      </c>
      <c r="N21" s="8" t="n"/>
      <c r="O21" s="8">
        <f>M21-N21</f>
        <v/>
      </c>
    </row>
    <row r="22" ht="18" customHeight="1">
      <c r="A22" s="6" t="n"/>
      <c r="B22" s="7" t="n"/>
      <c r="C22" s="7" t="n"/>
      <c r="D22" s="6" t="n"/>
      <c r="E22" s="8" t="n"/>
      <c r="F22" s="8" t="n"/>
      <c r="G22" s="6" t="n"/>
      <c r="H22" s="8">
        <f>IF(G22="",0,(IF(G22="N",((E22+F22)-(E22*J22%))/(1-(I22/100)),IF(G22="S",((E22+F22)/(1-(I22/100))),IF(G22&gt;0,((E22+F22)-(E22*G22))/(1-(I22/100)))))))</f>
        <v/>
      </c>
      <c r="I22" s="9" t="n"/>
      <c r="J22" s="9" t="n"/>
      <c r="K22" s="8">
        <f>H22*I22%</f>
        <v/>
      </c>
      <c r="L22" s="8">
        <f>E22*J22%</f>
        <v/>
      </c>
      <c r="M22" s="8">
        <f>IF(G22="",0,IF(G22="S",H22*((I22-J22)%),IF(G22="N",K22-L22,IF(G22&gt;0,H22*((I22-J22)%)))))</f>
        <v/>
      </c>
      <c r="N22" s="8" t="n"/>
      <c r="O22" s="8">
        <f>M22-N22</f>
        <v/>
      </c>
    </row>
    <row r="23" ht="18" customHeight="1">
      <c r="A23" s="6" t="n"/>
      <c r="B23" s="7" t="n"/>
      <c r="C23" s="7" t="n"/>
      <c r="D23" s="6" t="n"/>
      <c r="E23" s="8" t="n"/>
      <c r="F23" s="8" t="n"/>
      <c r="G23" s="6" t="n"/>
      <c r="H23" s="8">
        <f>IF(G23="",0,(IF(G23="N",((E23+F23)-(E23*J23%))/(1-(I23/100)),IF(G23="S",((E23+F23)/(1-(I23/100))),IF(G23&gt;0,((E23+F23)-(E23*G23))/(1-(I23/100)))))))</f>
        <v/>
      </c>
      <c r="I23" s="9" t="n"/>
      <c r="J23" s="9" t="n"/>
      <c r="K23" s="8">
        <f>H23*I23%</f>
        <v/>
      </c>
      <c r="L23" s="8">
        <f>E23*J23%</f>
        <v/>
      </c>
      <c r="M23" s="8">
        <f>IF(G23="",0,IF(G23="S",H23*((I23-J23)%),IF(G23="N",K23-L23,IF(G23&gt;0,H23*((I23-J23)%)))))</f>
        <v/>
      </c>
      <c r="N23" s="8" t="n"/>
      <c r="O23" s="8">
        <f>M23-N23</f>
        <v/>
      </c>
    </row>
    <row r="24" ht="18" customHeight="1">
      <c r="A24" s="6" t="n"/>
      <c r="B24" s="7" t="n"/>
      <c r="C24" s="7" t="n"/>
      <c r="D24" s="6" t="n"/>
      <c r="E24" s="8" t="n"/>
      <c r="F24" s="8" t="n"/>
      <c r="G24" s="6" t="n"/>
      <c r="H24" s="8">
        <f>IF(G24="",0,(IF(G24="N",((E24+F24)-(E24*J24%))/(1-(I24/100)),IF(G24="S",((E24+F24)/(1-(I24/100))),IF(G24&gt;0,((E24+F24)-(E24*G24))/(1-(I24/100)))))))</f>
        <v/>
      </c>
      <c r="I24" s="9" t="n"/>
      <c r="J24" s="9" t="n"/>
      <c r="K24" s="8">
        <f>H24*I24%</f>
        <v/>
      </c>
      <c r="L24" s="8">
        <f>E24*J24%</f>
        <v/>
      </c>
      <c r="M24" s="8">
        <f>IF(G24="",0,IF(G24="S",H24*((I24-J24)%),IF(G24="N",K24-L24,IF(G24&gt;0,H24*((I24-J24)%)))))</f>
        <v/>
      </c>
      <c r="N24" s="8" t="n"/>
      <c r="O24" s="8">
        <f>M24-N24</f>
        <v/>
      </c>
    </row>
    <row r="25" ht="18" customHeight="1">
      <c r="A25" s="6" t="n"/>
      <c r="B25" s="7" t="n"/>
      <c r="C25" s="7" t="n"/>
      <c r="D25" s="6" t="n"/>
      <c r="E25" s="8" t="n"/>
      <c r="F25" s="8" t="n"/>
      <c r="G25" s="6" t="n"/>
      <c r="H25" s="8">
        <f>IF(G25="",0,(IF(G25="N",((E25+F25)-(E25*J25%))/(1-(I25/100)),IF(G25="S",((E25+F25)/(1-(I25/100))),IF(G25&gt;0,((E25+F25)-(E25*G25))/(1-(I25/100)))))))</f>
        <v/>
      </c>
      <c r="I25" s="9" t="n"/>
      <c r="J25" s="9" t="n"/>
      <c r="K25" s="8">
        <f>H25*I25%</f>
        <v/>
      </c>
      <c r="L25" s="8">
        <f>E25*J25%</f>
        <v/>
      </c>
      <c r="M25" s="8">
        <f>IF(G25="",0,IF(G25="S",H25*((I25-J25)%),IF(G25="N",K25-L25,IF(G25&gt;0,H25*((I25-J25)%)))))</f>
        <v/>
      </c>
      <c r="N25" s="8" t="n"/>
      <c r="O25" s="8">
        <f>M25-N25</f>
        <v/>
      </c>
    </row>
    <row r="26" ht="18" customHeight="1">
      <c r="A26" s="6" t="n"/>
      <c r="B26" s="7" t="n"/>
      <c r="C26" s="7" t="n"/>
      <c r="D26" s="6" t="n"/>
      <c r="E26" s="8" t="n"/>
      <c r="F26" s="8" t="n"/>
      <c r="G26" s="6" t="n"/>
      <c r="H26" s="8">
        <f>IF(G26="",0,(IF(G26="N",((E26+F26)-(E26*J26%))/(1-(I26/100)),IF(G26="S",((E26+F26)/(1-(I26/100))),IF(G26&gt;0,((E26+F26)-(E26*G26))/(1-(I26/100)))))))</f>
        <v/>
      </c>
      <c r="I26" s="9" t="n"/>
      <c r="J26" s="9" t="n"/>
      <c r="K26" s="8">
        <f>H26*I26%</f>
        <v/>
      </c>
      <c r="L26" s="8">
        <f>E26*J26%</f>
        <v/>
      </c>
      <c r="M26" s="8">
        <f>IF(G26="",0,IF(G26="S",H26*((I26-J26)%),IF(G26="N",K26-L26,IF(G26&gt;0,H26*((I26-J26)%)))))</f>
        <v/>
      </c>
      <c r="N26" s="8" t="n"/>
      <c r="O26" s="8">
        <f>M26-N26</f>
        <v/>
      </c>
    </row>
    <row r="27" ht="18" customHeight="1">
      <c r="A27" s="6" t="n"/>
      <c r="B27" s="7" t="n"/>
      <c r="C27" s="7" t="n"/>
      <c r="D27" s="6" t="n"/>
      <c r="E27" s="8" t="n"/>
      <c r="F27" s="8" t="n"/>
      <c r="G27" s="6" t="n"/>
      <c r="H27" s="8">
        <f>IF(G27="",0,(IF(G27="N",((E27+F27)-(E27*J27%))/(1-(I27/100)),IF(G27="S",((E27+F27)/(1-(I27/100))),IF(G27&gt;0,((E27+F27)-(E27*G27))/(1-(I27/100)))))))</f>
        <v/>
      </c>
      <c r="I27" s="9" t="n"/>
      <c r="J27" s="9" t="n"/>
      <c r="K27" s="8">
        <f>H27*I27%</f>
        <v/>
      </c>
      <c r="L27" s="8">
        <f>E27*J27%</f>
        <v/>
      </c>
      <c r="M27" s="8">
        <f>IF(G27="",0,IF(G27="S",H27*((I27-J27)%),IF(G27="N",K27-L27,IF(G27&gt;0,H27*((I27-J27)%)))))</f>
        <v/>
      </c>
      <c r="N27" s="8" t="n"/>
      <c r="O27" s="8">
        <f>M27-N27</f>
        <v/>
      </c>
    </row>
    <row r="28" ht="18" customHeight="1">
      <c r="A28" s="6" t="n"/>
      <c r="B28" s="7" t="n"/>
      <c r="C28" s="7" t="n"/>
      <c r="D28" s="6" t="n"/>
      <c r="E28" s="8" t="n"/>
      <c r="F28" s="8" t="n"/>
      <c r="G28" s="6" t="n"/>
      <c r="H28" s="8">
        <f>IF(G28="",0,(IF(G28="N",((E28+F28)-(E28*J28%))/(1-(I28/100)),IF(G28="S",((E28+F28)/(1-(I28/100))),IF(G28&gt;0,((E28+F28)-(E28*G28))/(1-(I28/100)))))))</f>
        <v/>
      </c>
      <c r="I28" s="9" t="n"/>
      <c r="J28" s="9" t="n"/>
      <c r="K28" s="8">
        <f>H28*I28%</f>
        <v/>
      </c>
      <c r="L28" s="8">
        <f>E28*J28%</f>
        <v/>
      </c>
      <c r="M28" s="8">
        <f>IF(G28="",0,IF(G28="S",H28*((I28-J28)%),IF(G28="N",K28-L28,IF(G28&gt;0,H28*((I28-J28)%)))))</f>
        <v/>
      </c>
      <c r="N28" s="8" t="n"/>
      <c r="O28" s="8">
        <f>M28-N28</f>
        <v/>
      </c>
    </row>
    <row r="29" ht="18" customHeight="1">
      <c r="A29" s="6" t="n"/>
      <c r="B29" s="7" t="n"/>
      <c r="C29" s="7" t="n"/>
      <c r="D29" s="6" t="n"/>
      <c r="E29" s="8" t="n"/>
      <c r="F29" s="8" t="n"/>
      <c r="G29" s="6" t="n"/>
      <c r="H29" s="8">
        <f>IF(G29="",0,(IF(G29="N",((E29+F29)-(E29*J29%))/(1-(I29/100)),IF(G29="S",((E29+F29)/(1-(I29/100))),IF(G29&gt;0,((E29+F29)-(E29*G29))/(1-(I29/100)))))))</f>
        <v/>
      </c>
      <c r="I29" s="9" t="n"/>
      <c r="J29" s="9" t="n"/>
      <c r="K29" s="8">
        <f>H29*I29%</f>
        <v/>
      </c>
      <c r="L29" s="8">
        <f>E29*J29%</f>
        <v/>
      </c>
      <c r="M29" s="8">
        <f>IF(G29="",0,IF(G29="S",H29*((I29-J29)%),IF(G29="N",K29-L29,IF(G29&gt;0,H29*((I29-J29)%)))))</f>
        <v/>
      </c>
      <c r="N29" s="8" t="n"/>
      <c r="O29" s="8">
        <f>M29-N29</f>
        <v/>
      </c>
    </row>
    <row r="30" ht="18" customHeight="1">
      <c r="A30" s="6" t="n"/>
      <c r="B30" s="7" t="n"/>
      <c r="C30" s="7" t="n"/>
      <c r="D30" s="6" t="n"/>
      <c r="E30" s="8" t="n"/>
      <c r="F30" s="8" t="n"/>
      <c r="G30" s="6" t="n"/>
      <c r="H30" s="8">
        <f>IF(G30="",0,(IF(G30="N",((E30+F30)-(E30*J30%))/(1-(I30/100)),IF(G30="S",((E30+F30)/(1-(I30/100))),IF(G30&gt;0,((E30+F30)-(E30*G30))/(1-(I30/100)))))))</f>
        <v/>
      </c>
      <c r="I30" s="9" t="n"/>
      <c r="J30" s="9" t="n"/>
      <c r="K30" s="8">
        <f>H30*I30%</f>
        <v/>
      </c>
      <c r="L30" s="8">
        <f>E30*J30%</f>
        <v/>
      </c>
      <c r="M30" s="8">
        <f>IF(G30="",0,IF(G30="S",H30*((I30-J30)%),IF(G30="N",K30-L30,IF(G30&gt;0,H30*((I30-J30)%)))))</f>
        <v/>
      </c>
      <c r="N30" s="8" t="n"/>
      <c r="O30" s="8">
        <f>M30-N30</f>
        <v/>
      </c>
    </row>
    <row r="31" ht="18" customHeight="1">
      <c r="A31" s="6" t="n"/>
      <c r="B31" s="7" t="n"/>
      <c r="C31" s="7" t="n"/>
      <c r="D31" s="6" t="n"/>
      <c r="E31" s="8" t="n"/>
      <c r="F31" s="8" t="n"/>
      <c r="G31" s="6" t="n"/>
      <c r="H31" s="8">
        <f>IF(G31="",0,(IF(G31="N",((E31+F31)-(E31*J31%))/(1-(I31/100)),IF(G31="S",((E31+F31)/(1-(I31/100))),IF(G31&gt;0,((E31+F31)-(E31*G31))/(1-(I31/100)))))))</f>
        <v/>
      </c>
      <c r="I31" s="9" t="n"/>
      <c r="J31" s="9" t="n"/>
      <c r="K31" s="8">
        <f>H31*I31%</f>
        <v/>
      </c>
      <c r="L31" s="8">
        <f>E31*J31%</f>
        <v/>
      </c>
      <c r="M31" s="8">
        <f>IF(G31="",0,IF(G31="S",H31*((I31-J31)%),IF(G31="N",K31-L31,IF(G31&gt;0,H31*((I31-J31)%)))))</f>
        <v/>
      </c>
      <c r="N31" s="8" t="n"/>
      <c r="O31" s="8">
        <f>M31-N31</f>
        <v/>
      </c>
    </row>
    <row r="32" ht="18" customHeight="1">
      <c r="A32" s="6" t="n"/>
      <c r="B32" s="7" t="n"/>
      <c r="C32" s="7" t="n"/>
      <c r="D32" s="6" t="n"/>
      <c r="E32" s="8" t="n"/>
      <c r="F32" s="8" t="n"/>
      <c r="G32" s="6" t="n"/>
      <c r="H32" s="8">
        <f>IF(G32="",0,(IF(G32="N",((E32+F32)-(E32*J32%))/(1-(I32/100)),IF(G32="S",((E32+F32)/(1-(I32/100))),IF(G32&gt;0,((E32+F32)-(E32*G32))/(1-(I32/100)))))))</f>
        <v/>
      </c>
      <c r="I32" s="9" t="n"/>
      <c r="J32" s="9" t="n"/>
      <c r="K32" s="8">
        <f>H32*I32%</f>
        <v/>
      </c>
      <c r="L32" s="8">
        <f>E32*J32%</f>
        <v/>
      </c>
      <c r="M32" s="8">
        <f>IF(G32="",0,IF(G32="S",H32*((I32-J32)%),IF(G32="N",K32-L32,IF(G32&gt;0,H32*((I32-J32)%)))))</f>
        <v/>
      </c>
      <c r="N32" s="8" t="n"/>
      <c r="O32" s="8">
        <f>M32-N32</f>
        <v/>
      </c>
    </row>
    <row r="33" ht="18" customHeight="1">
      <c r="A33" s="6" t="n"/>
      <c r="B33" s="7" t="n"/>
      <c r="C33" s="7" t="n"/>
      <c r="D33" s="6" t="n"/>
      <c r="E33" s="8" t="n"/>
      <c r="F33" s="8" t="n"/>
      <c r="G33" s="6" t="n"/>
      <c r="H33" s="8">
        <f>IF(G33="",0,(IF(G33="N",((E33+F33)-(E33*J33%))/(1-(I33/100)),IF(G33="S",((E33+F33)/(1-(I33/100))),IF(G33&gt;0,((E33+F33)-(E33*G33))/(1-(I33/100)))))))</f>
        <v/>
      </c>
      <c r="I33" s="9" t="n"/>
      <c r="J33" s="9" t="n"/>
      <c r="K33" s="8">
        <f>H33*I33%</f>
        <v/>
      </c>
      <c r="L33" s="8">
        <f>E33*J33%</f>
        <v/>
      </c>
      <c r="M33" s="8">
        <f>IF(G33="",0,IF(G33="S",H33*((I33-J33)%),IF(G33="N",K33-L33,IF(G33&gt;0,H33*((I33-J33)%)))))</f>
        <v/>
      </c>
      <c r="N33" s="8" t="n"/>
      <c r="O33" s="8">
        <f>M33-N33</f>
        <v/>
      </c>
    </row>
    <row r="34" ht="18" customHeight="1">
      <c r="A34" s="6" t="n"/>
      <c r="B34" s="7" t="n"/>
      <c r="C34" s="7" t="n"/>
      <c r="D34" s="6" t="n"/>
      <c r="E34" s="8" t="n"/>
      <c r="F34" s="8" t="n"/>
      <c r="G34" s="6" t="n"/>
      <c r="H34" s="8">
        <f>IF(G34="",0,(IF(G34="N",((E34+F34)-(E34*J34%))/(1-(I34/100)),IF(G34="S",((E34+F34)/(1-(I34/100))),IF(G34&gt;0,((E34+F34)-(E34*G34))/(1-(I34/100)))))))</f>
        <v/>
      </c>
      <c r="I34" s="9" t="n"/>
      <c r="J34" s="9" t="n"/>
      <c r="K34" s="8">
        <f>H34*I34%</f>
        <v/>
      </c>
      <c r="L34" s="8">
        <f>E34*J34%</f>
        <v/>
      </c>
      <c r="M34" s="8">
        <f>IF(G34="",0,IF(G34="S",H34*((I34-J34)%),IF(G34="N",K34-L34,IF(G34&gt;0,H34*((I34-J34)%)))))</f>
        <v/>
      </c>
      <c r="N34" s="8" t="n"/>
      <c r="O34" s="8">
        <f>M34-N34</f>
        <v/>
      </c>
    </row>
    <row r="35" ht="18" customHeight="1">
      <c r="A35" s="6" t="n"/>
      <c r="B35" s="7" t="n"/>
      <c r="C35" s="7" t="n"/>
      <c r="D35" s="6" t="n"/>
      <c r="E35" s="8" t="n"/>
      <c r="F35" s="8" t="n"/>
      <c r="G35" s="6" t="n"/>
      <c r="H35" s="8">
        <f>IF(G35="",0,(IF(G35="N",((E35+F35)-(E35*J35%))/(1-(I35/100)),IF(G35="S",((E35+F35)/(1-(I35/100))),IF(G35&gt;0,((E35+F35)-(E35*G35))/(1-(I35/100)))))))</f>
        <v/>
      </c>
      <c r="I35" s="9" t="n"/>
      <c r="J35" s="9" t="n"/>
      <c r="K35" s="8">
        <f>H35*I35%</f>
        <v/>
      </c>
      <c r="L35" s="8">
        <f>E35*J35%</f>
        <v/>
      </c>
      <c r="M35" s="8">
        <f>IF(G35="",0,IF(G35="S",H35*((I35-J35)%),IF(G35="N",K35-L35,IF(G35&gt;0,H35*((I35-J35)%)))))</f>
        <v/>
      </c>
      <c r="N35" s="8" t="n"/>
      <c r="O35" s="8">
        <f>M35-N35</f>
        <v/>
      </c>
    </row>
    <row r="36" ht="18" customHeight="1">
      <c r="A36" s="6" t="n"/>
      <c r="B36" s="7" t="n"/>
      <c r="C36" s="7" t="n"/>
      <c r="D36" s="6" t="n"/>
      <c r="E36" s="8" t="n"/>
      <c r="F36" s="8" t="n"/>
      <c r="G36" s="6" t="n"/>
      <c r="H36" s="8">
        <f>IF(G36="",0,(IF(G36="N",((E36+F36)-(E36*J36%))/(1-(I36/100)),IF(G36="S",((E36+F36)/(1-(I36/100))),IF(G36&gt;0,((E36+F36)-(E36*G36))/(1-(I36/100)))))))</f>
        <v/>
      </c>
      <c r="I36" s="9" t="n"/>
      <c r="J36" s="9" t="n"/>
      <c r="K36" s="8">
        <f>H36*I36%</f>
        <v/>
      </c>
      <c r="L36" s="8">
        <f>E36*J36%</f>
        <v/>
      </c>
      <c r="M36" s="8">
        <f>IF(G36="",0,IF(G36="S",H36*((I36-J36)%),IF(G36="N",K36-L36,IF(G36&gt;0,H36*((I36-J36)%)))))</f>
        <v/>
      </c>
      <c r="N36" s="8" t="n"/>
      <c r="O36" s="8">
        <f>M36-N36</f>
        <v/>
      </c>
    </row>
    <row r="37" ht="18" customHeight="1">
      <c r="A37" s="6" t="n"/>
      <c r="B37" s="7" t="n"/>
      <c r="C37" s="7" t="n"/>
      <c r="D37" s="6" t="n"/>
      <c r="E37" s="8" t="n"/>
      <c r="F37" s="8" t="n"/>
      <c r="G37" s="6" t="n"/>
      <c r="H37" s="8">
        <f>IF(G37="",0,(IF(G37="N",((E37+F37)-(E37*J37%))/(1-(I37/100)),IF(G37="S",((E37+F37)/(1-(I37/100))),IF(G37&gt;0,((E37+F37)-(E37*G37))/(1-(I37/100)))))))</f>
        <v/>
      </c>
      <c r="I37" s="9" t="n"/>
      <c r="J37" s="9" t="n"/>
      <c r="K37" s="8">
        <f>H37*I37%</f>
        <v/>
      </c>
      <c r="L37" s="8">
        <f>E37*J37%</f>
        <v/>
      </c>
      <c r="M37" s="8">
        <f>IF(G37="",0,IF(G37="S",H37*((I37-J37)%),IF(G37="N",K37-L37,IF(G37&gt;0,H37*((I37-J37)%)))))</f>
        <v/>
      </c>
      <c r="N37" s="8" t="n"/>
      <c r="O37" s="8">
        <f>M37-N37</f>
        <v/>
      </c>
    </row>
    <row r="38" ht="18" customHeight="1">
      <c r="A38" s="6" t="n"/>
      <c r="B38" s="7" t="n"/>
      <c r="C38" s="7" t="n"/>
      <c r="D38" s="6" t="n"/>
      <c r="E38" s="8" t="n"/>
      <c r="F38" s="8" t="n"/>
      <c r="G38" s="6" t="n"/>
      <c r="H38" s="8">
        <f>IF(G38="",0,(IF(G38="N",((E38+F38)-(E38*J38%))/(1-(I38/100)),IF(G38="S",((E38+F38)/(1-(I38/100))),IF(G38&gt;0,((E38+F38)-(E38*G38))/(1-(I38/100)))))))</f>
        <v/>
      </c>
      <c r="I38" s="9" t="n"/>
      <c r="J38" s="9" t="n"/>
      <c r="K38" s="8">
        <f>H38*I38%</f>
        <v/>
      </c>
      <c r="L38" s="8">
        <f>E38*J38%</f>
        <v/>
      </c>
      <c r="M38" s="8">
        <f>IF(G38="",0,IF(G38="S",H38*((I38-J38)%),IF(G38="N",K38-L38,IF(G38&gt;0,H38*((I38-J38)%)))))</f>
        <v/>
      </c>
      <c r="N38" s="8" t="n"/>
      <c r="O38" s="8">
        <f>M38-N38</f>
        <v/>
      </c>
    </row>
    <row r="39" ht="20" customHeight="1">
      <c r="A39" s="10" t="n"/>
      <c r="B39" s="10" t="n"/>
      <c r="C39" s="10" t="n"/>
      <c r="D39" s="11" t="inlineStr">
        <is>
          <t>TOTAL</t>
        </is>
      </c>
      <c r="E39" s="12">
        <f>SUM(E4:E38)</f>
        <v/>
      </c>
      <c r="F39" s="12">
        <f>SUM(F4:F38)</f>
        <v/>
      </c>
      <c r="G39" s="10" t="n"/>
      <c r="H39" s="12">
        <f>SUM(H4:H38)</f>
        <v/>
      </c>
      <c r="I39" s="10" t="n"/>
      <c r="J39" s="10" t="n"/>
      <c r="K39" s="12">
        <f>SUM(K4:K38)</f>
        <v/>
      </c>
      <c r="L39" s="12">
        <f>SUM(L4:L38)</f>
        <v/>
      </c>
      <c r="M39" s="12">
        <f>SUM(M4:M38)</f>
        <v/>
      </c>
      <c r="N39" s="12">
        <f>SUM(N4:N38)</f>
        <v/>
      </c>
      <c r="O39" s="12">
        <f>SUM(O4:O38)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2026-08-19T16:56:43Z</dcterms:created>
  <dcterms:modified xsi:type="dcterms:W3CDTF">2026-09-02T13:15:42Z</dcterms:modified>
</cp:coreProperties>
</file>