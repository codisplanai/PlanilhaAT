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Rodrigo\Downloads\"/>
    </mc:Choice>
  </mc:AlternateContent>
  <xr:revisionPtr revIDLastSave="0" documentId="8_{F9866F03-08A9-4080-8F42-499D05B49900}" xr6:coauthVersionLast="47" xr6:coauthVersionMax="47" xr10:uidLastSave="{00000000-0000-0000-0000-000000000000}"/>
  <bookViews>
    <workbookView xWindow="2535" yWindow="3825" windowWidth="18450" windowHeight="11295" firstSheet="2" activeTab="13" xr2:uid="{0621894A-AC15-40F8-A1BF-EA3B6A0A41A1}"/>
  </bookViews>
  <sheets>
    <sheet name="01 (2)" sheetId="3" state="hidden" r:id="rId1"/>
    <sheet name="02-2019" sheetId="37" r:id="rId2"/>
    <sheet name="05-2019" sheetId="38" r:id="rId3"/>
    <sheet name="08-2019" sheetId="39" r:id="rId4"/>
    <sheet name="09-2019" sheetId="40" r:id="rId5"/>
    <sheet name="10-2019" sheetId="41" r:id="rId6"/>
    <sheet name="10-2020" sheetId="42" r:id="rId7"/>
    <sheet name="01-2021" sheetId="43" r:id="rId8"/>
    <sheet name="02-2022" sheetId="44" r:id="rId9"/>
    <sheet name="08-2025" sheetId="45" r:id="rId10"/>
    <sheet name="12-2025" sheetId="46" r:id="rId11"/>
    <sheet name="12-2025 FCP" sheetId="47" r:id="rId12"/>
    <sheet name="04-2026" sheetId="48" r:id="rId13"/>
    <sheet name="04-2026 FCP " sheetId="49" r:id="rId14"/>
  </sheets>
  <definedNames>
    <definedName name="_xlnm.Print_Area" localSheetId="0">'01 (2)'!$A$1:$R$39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49" l="1"/>
  <c r="G39" i="49"/>
  <c r="F39" i="49"/>
  <c r="E39" i="49"/>
  <c r="R38" i="49"/>
  <c r="P38" i="49"/>
  <c r="N38" i="49"/>
  <c r="O38" i="49"/>
  <c r="Q38" i="49"/>
  <c r="T38" i="49"/>
  <c r="R37" i="49"/>
  <c r="P37" i="49"/>
  <c r="N37" i="49"/>
  <c r="O37" i="49"/>
  <c r="Q37" i="49"/>
  <c r="T37" i="49"/>
  <c r="R36" i="49"/>
  <c r="P36" i="49"/>
  <c r="N36" i="49"/>
  <c r="O36" i="49"/>
  <c r="Q36" i="49"/>
  <c r="T36" i="49"/>
  <c r="R35" i="49"/>
  <c r="P35" i="49"/>
  <c r="N35" i="49"/>
  <c r="O35" i="49"/>
  <c r="Q35" i="49"/>
  <c r="T35" i="49"/>
  <c r="R34" i="49"/>
  <c r="P34" i="49"/>
  <c r="N34" i="49"/>
  <c r="O34" i="49"/>
  <c r="Q34" i="49"/>
  <c r="T34" i="49"/>
  <c r="R33" i="49"/>
  <c r="P33" i="49"/>
  <c r="N33" i="49"/>
  <c r="O33" i="49"/>
  <c r="Q33" i="49"/>
  <c r="T33" i="49"/>
  <c r="R32" i="49"/>
  <c r="P32" i="49"/>
  <c r="N32" i="49"/>
  <c r="O32" i="49"/>
  <c r="Q32" i="49"/>
  <c r="T32" i="49"/>
  <c r="R31" i="49"/>
  <c r="P31" i="49"/>
  <c r="N31" i="49"/>
  <c r="O31" i="49"/>
  <c r="Q31" i="49"/>
  <c r="T31" i="49"/>
  <c r="R30" i="49"/>
  <c r="P30" i="49"/>
  <c r="N30" i="49"/>
  <c r="O30" i="49"/>
  <c r="Q30" i="49"/>
  <c r="T30" i="49"/>
  <c r="R29" i="49"/>
  <c r="P29" i="49"/>
  <c r="N29" i="49"/>
  <c r="O29" i="49"/>
  <c r="Q29" i="49"/>
  <c r="T29" i="49"/>
  <c r="R28" i="49"/>
  <c r="P28" i="49"/>
  <c r="N28" i="49"/>
  <c r="O28" i="49"/>
  <c r="R27" i="49"/>
  <c r="P27" i="49"/>
  <c r="N27" i="49"/>
  <c r="O27" i="49"/>
  <c r="Q27" i="49"/>
  <c r="T27" i="49"/>
  <c r="R26" i="49"/>
  <c r="P26" i="49"/>
  <c r="N26" i="49"/>
  <c r="O26" i="49"/>
  <c r="Q26" i="49"/>
  <c r="T26" i="49"/>
  <c r="R25" i="49"/>
  <c r="P25" i="49"/>
  <c r="N25" i="49"/>
  <c r="O25" i="49"/>
  <c r="Q25" i="49"/>
  <c r="T25" i="49"/>
  <c r="R24" i="49"/>
  <c r="P24" i="49"/>
  <c r="N24" i="49"/>
  <c r="O24" i="49"/>
  <c r="Q24" i="49"/>
  <c r="T24" i="49"/>
  <c r="R23" i="49"/>
  <c r="P23" i="49"/>
  <c r="N23" i="49"/>
  <c r="O23" i="49"/>
  <c r="Q23" i="49"/>
  <c r="T23" i="49"/>
  <c r="R22" i="49"/>
  <c r="P22" i="49"/>
  <c r="N22" i="49"/>
  <c r="O22" i="49"/>
  <c r="Q22" i="49"/>
  <c r="T22" i="49"/>
  <c r="R21" i="49"/>
  <c r="P21" i="49"/>
  <c r="N21" i="49"/>
  <c r="O21" i="49"/>
  <c r="Q21" i="49"/>
  <c r="T21" i="49"/>
  <c r="R20" i="49"/>
  <c r="P20" i="49"/>
  <c r="N20" i="49"/>
  <c r="O20" i="49"/>
  <c r="R19" i="49"/>
  <c r="P19" i="49"/>
  <c r="N19" i="49"/>
  <c r="O19" i="49"/>
  <c r="Q19" i="49"/>
  <c r="T19" i="49"/>
  <c r="R18" i="49"/>
  <c r="P18" i="49"/>
  <c r="N18" i="49"/>
  <c r="O18" i="49"/>
  <c r="Q18" i="49"/>
  <c r="T18" i="49"/>
  <c r="R17" i="49"/>
  <c r="P17" i="49"/>
  <c r="N17" i="49"/>
  <c r="O17" i="49"/>
  <c r="Q17" i="49"/>
  <c r="T17" i="49"/>
  <c r="R16" i="49"/>
  <c r="P16" i="49"/>
  <c r="N16" i="49"/>
  <c r="O16" i="49"/>
  <c r="R15" i="49"/>
  <c r="P15" i="49"/>
  <c r="N15" i="49"/>
  <c r="O15" i="49"/>
  <c r="Q15" i="49"/>
  <c r="T15" i="49"/>
  <c r="R14" i="49"/>
  <c r="P14" i="49"/>
  <c r="N14" i="49"/>
  <c r="O14" i="49"/>
  <c r="Q14" i="49"/>
  <c r="T14" i="49"/>
  <c r="R13" i="49"/>
  <c r="P13" i="49"/>
  <c r="N13" i="49"/>
  <c r="O13" i="49"/>
  <c r="Q13" i="49"/>
  <c r="T13" i="49"/>
  <c r="R12" i="49"/>
  <c r="P12" i="49"/>
  <c r="N12" i="49"/>
  <c r="O12" i="49"/>
  <c r="Q12" i="49"/>
  <c r="T12" i="49"/>
  <c r="R11" i="49"/>
  <c r="P11" i="49"/>
  <c r="N11" i="49"/>
  <c r="O11" i="49"/>
  <c r="Q11" i="49"/>
  <c r="T11" i="49"/>
  <c r="R10" i="49"/>
  <c r="P10" i="49"/>
  <c r="N10" i="49"/>
  <c r="O10" i="49"/>
  <c r="Q10" i="49"/>
  <c r="T10" i="49"/>
  <c r="R9" i="49"/>
  <c r="P9" i="49"/>
  <c r="N9" i="49"/>
  <c r="O9" i="49"/>
  <c r="Q9" i="49"/>
  <c r="T9" i="49"/>
  <c r="R8" i="49"/>
  <c r="P8" i="49"/>
  <c r="N8" i="49"/>
  <c r="O8" i="49"/>
  <c r="Q8" i="49"/>
  <c r="T8" i="49"/>
  <c r="R7" i="49"/>
  <c r="P7" i="49"/>
  <c r="N7" i="49"/>
  <c r="O7" i="49"/>
  <c r="Q7" i="49"/>
  <c r="T7" i="49"/>
  <c r="R6" i="49"/>
  <c r="P6" i="49"/>
  <c r="N6" i="49"/>
  <c r="O6" i="49"/>
  <c r="Q6" i="49"/>
  <c r="T6" i="49"/>
  <c r="R5" i="49"/>
  <c r="P5" i="49"/>
  <c r="P39" i="49"/>
  <c r="N5" i="49"/>
  <c r="N39" i="49"/>
  <c r="R4" i="49"/>
  <c r="P4" i="49"/>
  <c r="N4" i="49"/>
  <c r="O4" i="49"/>
  <c r="S39" i="48"/>
  <c r="G39" i="48"/>
  <c r="F39" i="48"/>
  <c r="E39" i="48"/>
  <c r="R38" i="48"/>
  <c r="P38" i="48"/>
  <c r="N38" i="48"/>
  <c r="O38" i="48"/>
  <c r="Q38" i="48"/>
  <c r="T38" i="48"/>
  <c r="R37" i="48"/>
  <c r="P37" i="48"/>
  <c r="N37" i="48"/>
  <c r="O37" i="48"/>
  <c r="Q37" i="48"/>
  <c r="T37" i="48"/>
  <c r="R36" i="48"/>
  <c r="P36" i="48"/>
  <c r="N36" i="48"/>
  <c r="O36" i="48"/>
  <c r="Q36" i="48"/>
  <c r="T36" i="48"/>
  <c r="R35" i="48"/>
  <c r="P35" i="48"/>
  <c r="N35" i="48"/>
  <c r="O35" i="48"/>
  <c r="Q35" i="48"/>
  <c r="T35" i="48"/>
  <c r="R34" i="48"/>
  <c r="P34" i="48"/>
  <c r="N34" i="48"/>
  <c r="O34" i="48"/>
  <c r="Q34" i="48"/>
  <c r="T34" i="48"/>
  <c r="R33" i="48"/>
  <c r="P33" i="48"/>
  <c r="N33" i="48"/>
  <c r="O33" i="48"/>
  <c r="Q33" i="48"/>
  <c r="T33" i="48"/>
  <c r="R32" i="48"/>
  <c r="P32" i="48"/>
  <c r="N32" i="48"/>
  <c r="O32" i="48"/>
  <c r="Q32" i="48"/>
  <c r="T32" i="48"/>
  <c r="R31" i="48"/>
  <c r="P31" i="48"/>
  <c r="N31" i="48"/>
  <c r="O31" i="48"/>
  <c r="Q31" i="48"/>
  <c r="T31" i="48"/>
  <c r="R30" i="48"/>
  <c r="P30" i="48"/>
  <c r="N30" i="48"/>
  <c r="O30" i="48"/>
  <c r="Q30" i="48"/>
  <c r="T30" i="48"/>
  <c r="R29" i="48"/>
  <c r="P29" i="48"/>
  <c r="N29" i="48"/>
  <c r="O29" i="48"/>
  <c r="Q29" i="48"/>
  <c r="T29" i="48"/>
  <c r="R28" i="48"/>
  <c r="P28" i="48"/>
  <c r="N28" i="48"/>
  <c r="O28" i="48"/>
  <c r="Q28" i="48"/>
  <c r="T28" i="48"/>
  <c r="R27" i="48"/>
  <c r="P27" i="48"/>
  <c r="N27" i="48"/>
  <c r="O27" i="48"/>
  <c r="Q27" i="48"/>
  <c r="T27" i="48"/>
  <c r="R26" i="48"/>
  <c r="P26" i="48"/>
  <c r="N26" i="48"/>
  <c r="O26" i="48"/>
  <c r="Q26" i="48"/>
  <c r="T26" i="48"/>
  <c r="R25" i="48"/>
  <c r="P25" i="48"/>
  <c r="N25" i="48"/>
  <c r="O25" i="48"/>
  <c r="Q25" i="48"/>
  <c r="T25" i="48"/>
  <c r="R24" i="48"/>
  <c r="P24" i="48"/>
  <c r="N24" i="48"/>
  <c r="O24" i="48"/>
  <c r="Q24" i="48"/>
  <c r="T24" i="48"/>
  <c r="R23" i="48"/>
  <c r="P23" i="48"/>
  <c r="N23" i="48"/>
  <c r="O23" i="48"/>
  <c r="Q23" i="48"/>
  <c r="T23" i="48"/>
  <c r="R22" i="48"/>
  <c r="P22" i="48"/>
  <c r="N22" i="48"/>
  <c r="O22" i="48"/>
  <c r="Q22" i="48"/>
  <c r="T22" i="48"/>
  <c r="R21" i="48"/>
  <c r="P21" i="48"/>
  <c r="N21" i="48"/>
  <c r="O21" i="48"/>
  <c r="Q21" i="48"/>
  <c r="T21" i="48"/>
  <c r="R20" i="48"/>
  <c r="P20" i="48"/>
  <c r="N20" i="48"/>
  <c r="O20" i="48"/>
  <c r="R19" i="48"/>
  <c r="P19" i="48"/>
  <c r="N19" i="48"/>
  <c r="O19" i="48"/>
  <c r="Q19" i="48"/>
  <c r="T19" i="48"/>
  <c r="R18" i="48"/>
  <c r="P18" i="48"/>
  <c r="N18" i="48"/>
  <c r="O18" i="48"/>
  <c r="Q18" i="48"/>
  <c r="T18" i="48"/>
  <c r="R17" i="48"/>
  <c r="P17" i="48"/>
  <c r="N17" i="48"/>
  <c r="O17" i="48"/>
  <c r="Q17" i="48"/>
  <c r="T17" i="48"/>
  <c r="R16" i="48"/>
  <c r="P16" i="48"/>
  <c r="N16" i="48"/>
  <c r="O16" i="48"/>
  <c r="R15" i="48"/>
  <c r="P15" i="48"/>
  <c r="N15" i="48"/>
  <c r="O15" i="48"/>
  <c r="Q15" i="48"/>
  <c r="T15" i="48"/>
  <c r="R14" i="48"/>
  <c r="P14" i="48"/>
  <c r="N14" i="48"/>
  <c r="O14" i="48"/>
  <c r="Q14" i="48"/>
  <c r="T14" i="48"/>
  <c r="R13" i="48"/>
  <c r="P13" i="48"/>
  <c r="N13" i="48"/>
  <c r="O13" i="48"/>
  <c r="Q13" i="48"/>
  <c r="T13" i="48"/>
  <c r="R12" i="48"/>
  <c r="P12" i="48"/>
  <c r="N12" i="48"/>
  <c r="O12" i="48"/>
  <c r="Q12" i="48"/>
  <c r="T12" i="48"/>
  <c r="R11" i="48"/>
  <c r="P11" i="48"/>
  <c r="N11" i="48"/>
  <c r="O11" i="48"/>
  <c r="Q11" i="48"/>
  <c r="T11" i="48"/>
  <c r="R10" i="48"/>
  <c r="P10" i="48"/>
  <c r="N10" i="48"/>
  <c r="O10" i="48"/>
  <c r="Q10" i="48"/>
  <c r="T10" i="48"/>
  <c r="R9" i="48"/>
  <c r="P9" i="48"/>
  <c r="N9" i="48"/>
  <c r="O9" i="48"/>
  <c r="Q9" i="48"/>
  <c r="T9" i="48"/>
  <c r="R8" i="48"/>
  <c r="P8" i="48"/>
  <c r="N8" i="48"/>
  <c r="O8" i="48"/>
  <c r="Q8" i="48"/>
  <c r="T8" i="48"/>
  <c r="R7" i="48"/>
  <c r="P7" i="48"/>
  <c r="N7" i="48"/>
  <c r="O7" i="48"/>
  <c r="Q7" i="48"/>
  <c r="T7" i="48"/>
  <c r="R6" i="48"/>
  <c r="P6" i="48"/>
  <c r="N6" i="48"/>
  <c r="O6" i="48"/>
  <c r="Q6" i="48"/>
  <c r="T6" i="48"/>
  <c r="R5" i="48"/>
  <c r="P5" i="48"/>
  <c r="N5" i="48"/>
  <c r="R4" i="48"/>
  <c r="P4" i="48"/>
  <c r="N4" i="48"/>
  <c r="O4" i="48"/>
  <c r="S39" i="47"/>
  <c r="G39" i="47"/>
  <c r="F39" i="47"/>
  <c r="E39" i="47"/>
  <c r="R38" i="47"/>
  <c r="P38" i="47"/>
  <c r="N38" i="47"/>
  <c r="O38" i="47"/>
  <c r="Q38" i="47"/>
  <c r="T38" i="47"/>
  <c r="R37" i="47"/>
  <c r="P37" i="47"/>
  <c r="N37" i="47"/>
  <c r="O37" i="47"/>
  <c r="Q37" i="47"/>
  <c r="T37" i="47"/>
  <c r="R36" i="47"/>
  <c r="P36" i="47"/>
  <c r="N36" i="47"/>
  <c r="O36" i="47"/>
  <c r="Q36" i="47"/>
  <c r="T36" i="47"/>
  <c r="R35" i="47"/>
  <c r="P35" i="47"/>
  <c r="N35" i="47"/>
  <c r="O35" i="47"/>
  <c r="Q35" i="47"/>
  <c r="T35" i="47"/>
  <c r="R34" i="47"/>
  <c r="P34" i="47"/>
  <c r="N34" i="47"/>
  <c r="O34" i="47"/>
  <c r="Q34" i="47"/>
  <c r="T34" i="47"/>
  <c r="R33" i="47"/>
  <c r="P33" i="47"/>
  <c r="N33" i="47"/>
  <c r="O33" i="47"/>
  <c r="Q33" i="47"/>
  <c r="T33" i="47"/>
  <c r="R32" i="47"/>
  <c r="P32" i="47"/>
  <c r="N32" i="47"/>
  <c r="O32" i="47"/>
  <c r="Q32" i="47"/>
  <c r="T32" i="47"/>
  <c r="R31" i="47"/>
  <c r="P31" i="47"/>
  <c r="N31" i="47"/>
  <c r="O31" i="47"/>
  <c r="Q31" i="47"/>
  <c r="T31" i="47"/>
  <c r="R30" i="47"/>
  <c r="P30" i="47"/>
  <c r="N30" i="47"/>
  <c r="O30" i="47"/>
  <c r="Q30" i="47"/>
  <c r="T30" i="47"/>
  <c r="R29" i="47"/>
  <c r="P29" i="47"/>
  <c r="N29" i="47"/>
  <c r="O29" i="47"/>
  <c r="Q29" i="47"/>
  <c r="T29" i="47"/>
  <c r="R28" i="47"/>
  <c r="P28" i="47"/>
  <c r="N28" i="47"/>
  <c r="O28" i="47"/>
  <c r="R27" i="47"/>
  <c r="P27" i="47"/>
  <c r="N27" i="47"/>
  <c r="O27" i="47"/>
  <c r="Q27" i="47"/>
  <c r="T27" i="47"/>
  <c r="R26" i="47"/>
  <c r="P26" i="47"/>
  <c r="N26" i="47"/>
  <c r="O26" i="47"/>
  <c r="Q26" i="47"/>
  <c r="T26" i="47"/>
  <c r="R25" i="47"/>
  <c r="P25" i="47"/>
  <c r="N25" i="47"/>
  <c r="O25" i="47"/>
  <c r="Q25" i="47"/>
  <c r="T25" i="47"/>
  <c r="R24" i="47"/>
  <c r="P24" i="47"/>
  <c r="N24" i="47"/>
  <c r="O24" i="47"/>
  <c r="Q24" i="47"/>
  <c r="T24" i="47"/>
  <c r="R23" i="47"/>
  <c r="P23" i="47"/>
  <c r="N23" i="47"/>
  <c r="O23" i="47"/>
  <c r="Q23" i="47"/>
  <c r="T23" i="47"/>
  <c r="R22" i="47"/>
  <c r="P22" i="47"/>
  <c r="N22" i="47"/>
  <c r="O22" i="47"/>
  <c r="Q22" i="47"/>
  <c r="T22" i="47"/>
  <c r="R21" i="47"/>
  <c r="P21" i="47"/>
  <c r="N21" i="47"/>
  <c r="O21" i="47"/>
  <c r="Q21" i="47"/>
  <c r="T21" i="47"/>
  <c r="R20" i="47"/>
  <c r="P20" i="47"/>
  <c r="N20" i="47"/>
  <c r="O20" i="47"/>
  <c r="Q20" i="47"/>
  <c r="T20" i="47"/>
  <c r="R19" i="47"/>
  <c r="P19" i="47"/>
  <c r="N19" i="47"/>
  <c r="O19" i="47"/>
  <c r="Q19" i="47"/>
  <c r="T19" i="47"/>
  <c r="R18" i="47"/>
  <c r="P18" i="47"/>
  <c r="N18" i="47"/>
  <c r="O18" i="47"/>
  <c r="Q18" i="47"/>
  <c r="T18" i="47"/>
  <c r="R17" i="47"/>
  <c r="P17" i="47"/>
  <c r="N17" i="47"/>
  <c r="O17" i="47"/>
  <c r="Q17" i="47"/>
  <c r="T17" i="47"/>
  <c r="R16" i="47"/>
  <c r="P16" i="47"/>
  <c r="N16" i="47"/>
  <c r="O16" i="47"/>
  <c r="R15" i="47"/>
  <c r="P15" i="47"/>
  <c r="N15" i="47"/>
  <c r="O15" i="47"/>
  <c r="Q15" i="47"/>
  <c r="T15" i="47"/>
  <c r="R14" i="47"/>
  <c r="P14" i="47"/>
  <c r="N14" i="47"/>
  <c r="O14" i="47"/>
  <c r="Q14" i="47"/>
  <c r="T14" i="47"/>
  <c r="R13" i="47"/>
  <c r="P13" i="47"/>
  <c r="N13" i="47"/>
  <c r="O13" i="47"/>
  <c r="Q13" i="47"/>
  <c r="T13" i="47"/>
  <c r="R12" i="47"/>
  <c r="P12" i="47"/>
  <c r="N12" i="47"/>
  <c r="O12" i="47"/>
  <c r="Q12" i="47"/>
  <c r="T12" i="47"/>
  <c r="R11" i="47"/>
  <c r="P11" i="47"/>
  <c r="N11" i="47"/>
  <c r="O11" i="47"/>
  <c r="Q11" i="47"/>
  <c r="T11" i="47"/>
  <c r="R10" i="47"/>
  <c r="P10" i="47"/>
  <c r="N10" i="47"/>
  <c r="O10" i="47"/>
  <c r="Q10" i="47"/>
  <c r="T10" i="47"/>
  <c r="R9" i="47"/>
  <c r="P9" i="47"/>
  <c r="N9" i="47"/>
  <c r="O9" i="47"/>
  <c r="Q9" i="47"/>
  <c r="T9" i="47"/>
  <c r="R8" i="47"/>
  <c r="P8" i="47"/>
  <c r="N8" i="47"/>
  <c r="O8" i="47"/>
  <c r="Q8" i="47"/>
  <c r="T8" i="47"/>
  <c r="R7" i="47"/>
  <c r="P7" i="47"/>
  <c r="N7" i="47"/>
  <c r="O7" i="47"/>
  <c r="Q7" i="47"/>
  <c r="T7" i="47"/>
  <c r="R6" i="47"/>
  <c r="P6" i="47"/>
  <c r="N6" i="47"/>
  <c r="O6" i="47"/>
  <c r="R5" i="47"/>
  <c r="P5" i="47"/>
  <c r="N5" i="47"/>
  <c r="O5" i="47"/>
  <c r="R4" i="47"/>
  <c r="P4" i="47"/>
  <c r="N4" i="47"/>
  <c r="O4" i="47"/>
  <c r="S39" i="46"/>
  <c r="G39" i="46"/>
  <c r="F39" i="46"/>
  <c r="E39" i="46"/>
  <c r="R38" i="46"/>
  <c r="P38" i="46"/>
  <c r="N38" i="46"/>
  <c r="O38" i="46"/>
  <c r="Q38" i="46"/>
  <c r="T38" i="46"/>
  <c r="R37" i="46"/>
  <c r="P37" i="46"/>
  <c r="N37" i="46"/>
  <c r="O37" i="46"/>
  <c r="Q37" i="46"/>
  <c r="T37" i="46"/>
  <c r="R36" i="46"/>
  <c r="P36" i="46"/>
  <c r="N36" i="46"/>
  <c r="O36" i="46"/>
  <c r="Q36" i="46"/>
  <c r="T36" i="46"/>
  <c r="R35" i="46"/>
  <c r="P35" i="46"/>
  <c r="N35" i="46"/>
  <c r="O35" i="46"/>
  <c r="Q35" i="46"/>
  <c r="T35" i="46"/>
  <c r="R34" i="46"/>
  <c r="P34" i="46"/>
  <c r="N34" i="46"/>
  <c r="O34" i="46"/>
  <c r="Q34" i="46"/>
  <c r="T34" i="46"/>
  <c r="R33" i="46"/>
  <c r="P33" i="46"/>
  <c r="N33" i="46"/>
  <c r="O33" i="46"/>
  <c r="Q33" i="46"/>
  <c r="T33" i="46"/>
  <c r="R32" i="46"/>
  <c r="P32" i="46"/>
  <c r="N32" i="46"/>
  <c r="O32" i="46"/>
  <c r="Q32" i="46"/>
  <c r="T32" i="46"/>
  <c r="R31" i="46"/>
  <c r="P31" i="46"/>
  <c r="N31" i="46"/>
  <c r="O31" i="46"/>
  <c r="Q31" i="46"/>
  <c r="T31" i="46"/>
  <c r="R30" i="46"/>
  <c r="P30" i="46"/>
  <c r="N30" i="46"/>
  <c r="O30" i="46"/>
  <c r="Q30" i="46"/>
  <c r="T30" i="46"/>
  <c r="R29" i="46"/>
  <c r="P29" i="46"/>
  <c r="N29" i="46"/>
  <c r="O29" i="46"/>
  <c r="Q29" i="46"/>
  <c r="T29" i="46"/>
  <c r="R28" i="46"/>
  <c r="P28" i="46"/>
  <c r="N28" i="46"/>
  <c r="O28" i="46"/>
  <c r="Q28" i="46"/>
  <c r="T28" i="46"/>
  <c r="R27" i="46"/>
  <c r="P27" i="46"/>
  <c r="N27" i="46"/>
  <c r="O27" i="46"/>
  <c r="Q27" i="46"/>
  <c r="T27" i="46"/>
  <c r="R26" i="46"/>
  <c r="P26" i="46"/>
  <c r="N26" i="46"/>
  <c r="O26" i="46"/>
  <c r="Q26" i="46"/>
  <c r="T26" i="46"/>
  <c r="R25" i="46"/>
  <c r="P25" i="46"/>
  <c r="N25" i="46"/>
  <c r="O25" i="46"/>
  <c r="Q25" i="46"/>
  <c r="T25" i="46"/>
  <c r="R24" i="46"/>
  <c r="P24" i="46"/>
  <c r="N24" i="46"/>
  <c r="O24" i="46"/>
  <c r="Q24" i="46"/>
  <c r="T24" i="46"/>
  <c r="R23" i="46"/>
  <c r="P23" i="46"/>
  <c r="N23" i="46"/>
  <c r="O23" i="46"/>
  <c r="Q23" i="46"/>
  <c r="T23" i="46"/>
  <c r="R22" i="46"/>
  <c r="P22" i="46"/>
  <c r="N22" i="46"/>
  <c r="O22" i="46"/>
  <c r="Q22" i="46"/>
  <c r="T22" i="46"/>
  <c r="R21" i="46"/>
  <c r="P21" i="46"/>
  <c r="N21" i="46"/>
  <c r="O21" i="46"/>
  <c r="Q21" i="46"/>
  <c r="T21" i="46"/>
  <c r="R20" i="46"/>
  <c r="P20" i="46"/>
  <c r="N20" i="46"/>
  <c r="O20" i="46"/>
  <c r="Q20" i="46"/>
  <c r="T20" i="46"/>
  <c r="R19" i="46"/>
  <c r="P19" i="46"/>
  <c r="N19" i="46"/>
  <c r="O19" i="46"/>
  <c r="Q19" i="46"/>
  <c r="T19" i="46"/>
  <c r="R18" i="46"/>
  <c r="P18" i="46"/>
  <c r="N18" i="46"/>
  <c r="O18" i="46"/>
  <c r="Q18" i="46"/>
  <c r="T18" i="46"/>
  <c r="R17" i="46"/>
  <c r="P17" i="46"/>
  <c r="N17" i="46"/>
  <c r="O17" i="46"/>
  <c r="Q17" i="46"/>
  <c r="T17" i="46"/>
  <c r="R16" i="46"/>
  <c r="P16" i="46"/>
  <c r="N16" i="46"/>
  <c r="O16" i="46"/>
  <c r="R15" i="46"/>
  <c r="P15" i="46"/>
  <c r="N15" i="46"/>
  <c r="O15" i="46"/>
  <c r="Q15" i="46"/>
  <c r="T15" i="46"/>
  <c r="R14" i="46"/>
  <c r="P14" i="46"/>
  <c r="N14" i="46"/>
  <c r="O14" i="46"/>
  <c r="Q14" i="46"/>
  <c r="T14" i="46"/>
  <c r="R13" i="46"/>
  <c r="P13" i="46"/>
  <c r="N13" i="46"/>
  <c r="O13" i="46"/>
  <c r="Q13" i="46"/>
  <c r="T13" i="46"/>
  <c r="R12" i="46"/>
  <c r="P12" i="46"/>
  <c r="N12" i="46"/>
  <c r="O12" i="46"/>
  <c r="Q12" i="46"/>
  <c r="T12" i="46"/>
  <c r="R11" i="46"/>
  <c r="P11" i="46"/>
  <c r="N11" i="46"/>
  <c r="O11" i="46"/>
  <c r="Q11" i="46"/>
  <c r="T11" i="46"/>
  <c r="R10" i="46"/>
  <c r="P10" i="46"/>
  <c r="N10" i="46"/>
  <c r="O10" i="46"/>
  <c r="Q10" i="46"/>
  <c r="T10" i="46"/>
  <c r="R9" i="46"/>
  <c r="P9" i="46"/>
  <c r="N9" i="46"/>
  <c r="O9" i="46"/>
  <c r="Q9" i="46"/>
  <c r="T9" i="46"/>
  <c r="R8" i="46"/>
  <c r="P8" i="46"/>
  <c r="N8" i="46"/>
  <c r="O8" i="46"/>
  <c r="Q8" i="46"/>
  <c r="T8" i="46"/>
  <c r="R7" i="46"/>
  <c r="P7" i="46"/>
  <c r="N7" i="46"/>
  <c r="O7" i="46"/>
  <c r="Q7" i="46"/>
  <c r="T7" i="46"/>
  <c r="R6" i="46"/>
  <c r="P6" i="46"/>
  <c r="N6" i="46"/>
  <c r="O6" i="46"/>
  <c r="R5" i="46"/>
  <c r="P5" i="46"/>
  <c r="P39" i="46"/>
  <c r="N5" i="46"/>
  <c r="O5" i="46"/>
  <c r="Q5" i="46"/>
  <c r="R4" i="46"/>
  <c r="P4" i="46"/>
  <c r="N4" i="46"/>
  <c r="O4" i="46"/>
  <c r="S39" i="45"/>
  <c r="G39" i="45"/>
  <c r="F39" i="45"/>
  <c r="E39" i="45"/>
  <c r="R38" i="45"/>
  <c r="P38" i="45"/>
  <c r="N38" i="45"/>
  <c r="O38" i="45"/>
  <c r="Q38" i="45"/>
  <c r="T38" i="45"/>
  <c r="R37" i="45"/>
  <c r="P37" i="45"/>
  <c r="N37" i="45"/>
  <c r="O37" i="45"/>
  <c r="Q37" i="45"/>
  <c r="T37" i="45"/>
  <c r="R36" i="45"/>
  <c r="P36" i="45"/>
  <c r="N36" i="45"/>
  <c r="O36" i="45"/>
  <c r="Q36" i="45"/>
  <c r="T36" i="45"/>
  <c r="R35" i="45"/>
  <c r="P35" i="45"/>
  <c r="N35" i="45"/>
  <c r="O35" i="45"/>
  <c r="Q35" i="45"/>
  <c r="T35" i="45"/>
  <c r="R34" i="45"/>
  <c r="P34" i="45"/>
  <c r="N34" i="45"/>
  <c r="O34" i="45"/>
  <c r="Q34" i="45"/>
  <c r="T34" i="45"/>
  <c r="R33" i="45"/>
  <c r="P33" i="45"/>
  <c r="N33" i="45"/>
  <c r="O33" i="45"/>
  <c r="Q33" i="45"/>
  <c r="T33" i="45"/>
  <c r="R32" i="45"/>
  <c r="P32" i="45"/>
  <c r="N32" i="45"/>
  <c r="O32" i="45"/>
  <c r="R31" i="45"/>
  <c r="P31" i="45"/>
  <c r="N31" i="45"/>
  <c r="O31" i="45"/>
  <c r="Q31" i="45"/>
  <c r="T31" i="45"/>
  <c r="R30" i="45"/>
  <c r="P30" i="45"/>
  <c r="N30" i="45"/>
  <c r="O30" i="45"/>
  <c r="Q30" i="45"/>
  <c r="T30" i="45"/>
  <c r="R29" i="45"/>
  <c r="P29" i="45"/>
  <c r="N29" i="45"/>
  <c r="O29" i="45"/>
  <c r="Q29" i="45"/>
  <c r="T29" i="45"/>
  <c r="R28" i="45"/>
  <c r="P28" i="45"/>
  <c r="N28" i="45"/>
  <c r="O28" i="45"/>
  <c r="Q28" i="45"/>
  <c r="T28" i="45"/>
  <c r="R27" i="45"/>
  <c r="P27" i="45"/>
  <c r="N27" i="45"/>
  <c r="O27" i="45"/>
  <c r="Q27" i="45"/>
  <c r="T27" i="45"/>
  <c r="R26" i="45"/>
  <c r="P26" i="45"/>
  <c r="N26" i="45"/>
  <c r="O26" i="45"/>
  <c r="Q26" i="45"/>
  <c r="T26" i="45"/>
  <c r="R25" i="45"/>
  <c r="P25" i="45"/>
  <c r="N25" i="45"/>
  <c r="O25" i="45"/>
  <c r="Q25" i="45"/>
  <c r="T25" i="45"/>
  <c r="R24" i="45"/>
  <c r="P24" i="45"/>
  <c r="N24" i="45"/>
  <c r="O24" i="45"/>
  <c r="Q24" i="45"/>
  <c r="T24" i="45"/>
  <c r="R23" i="45"/>
  <c r="P23" i="45"/>
  <c r="N23" i="45"/>
  <c r="O23" i="45"/>
  <c r="Q23" i="45"/>
  <c r="T23" i="45"/>
  <c r="R22" i="45"/>
  <c r="P22" i="45"/>
  <c r="N22" i="45"/>
  <c r="O22" i="45"/>
  <c r="Q22" i="45"/>
  <c r="T22" i="45"/>
  <c r="R21" i="45"/>
  <c r="P21" i="45"/>
  <c r="N21" i="45"/>
  <c r="O21" i="45"/>
  <c r="Q21" i="45"/>
  <c r="T21" i="45"/>
  <c r="R20" i="45"/>
  <c r="P20" i="45"/>
  <c r="N20" i="45"/>
  <c r="O20" i="45"/>
  <c r="Q20" i="45"/>
  <c r="T20" i="45"/>
  <c r="R19" i="45"/>
  <c r="P19" i="45"/>
  <c r="N19" i="45"/>
  <c r="O19" i="45"/>
  <c r="Q19" i="45"/>
  <c r="T19" i="45"/>
  <c r="R18" i="45"/>
  <c r="P18" i="45"/>
  <c r="N18" i="45"/>
  <c r="O18" i="45"/>
  <c r="Q18" i="45"/>
  <c r="T18" i="45"/>
  <c r="R17" i="45"/>
  <c r="P17" i="45"/>
  <c r="N17" i="45"/>
  <c r="O17" i="45"/>
  <c r="Q17" i="45"/>
  <c r="T17" i="45"/>
  <c r="R16" i="45"/>
  <c r="P16" i="45"/>
  <c r="N16" i="45"/>
  <c r="O16" i="45"/>
  <c r="R15" i="45"/>
  <c r="P15" i="45"/>
  <c r="N15" i="45"/>
  <c r="O15" i="45"/>
  <c r="Q15" i="45"/>
  <c r="T15" i="45"/>
  <c r="R14" i="45"/>
  <c r="P14" i="45"/>
  <c r="N14" i="45"/>
  <c r="O14" i="45"/>
  <c r="Q14" i="45"/>
  <c r="T14" i="45"/>
  <c r="R13" i="45"/>
  <c r="P13" i="45"/>
  <c r="N13" i="45"/>
  <c r="O13" i="45"/>
  <c r="Q13" i="45"/>
  <c r="T13" i="45"/>
  <c r="R12" i="45"/>
  <c r="P12" i="45"/>
  <c r="N12" i="45"/>
  <c r="O12" i="45"/>
  <c r="Q12" i="45"/>
  <c r="T12" i="45"/>
  <c r="R11" i="45"/>
  <c r="P11" i="45"/>
  <c r="N11" i="45"/>
  <c r="O11" i="45"/>
  <c r="Q11" i="45"/>
  <c r="T11" i="45"/>
  <c r="R10" i="45"/>
  <c r="P10" i="45"/>
  <c r="N10" i="45"/>
  <c r="O10" i="45"/>
  <c r="Q10" i="45"/>
  <c r="T10" i="45"/>
  <c r="R9" i="45"/>
  <c r="P9" i="45"/>
  <c r="N9" i="45"/>
  <c r="O9" i="45"/>
  <c r="Q9" i="45"/>
  <c r="T9" i="45"/>
  <c r="R8" i="45"/>
  <c r="P8" i="45"/>
  <c r="N8" i="45"/>
  <c r="O8" i="45"/>
  <c r="R7" i="45"/>
  <c r="P7" i="45"/>
  <c r="N7" i="45"/>
  <c r="O7" i="45"/>
  <c r="Q7" i="45"/>
  <c r="T7" i="45"/>
  <c r="R6" i="45"/>
  <c r="P6" i="45"/>
  <c r="N6" i="45"/>
  <c r="O6" i="45"/>
  <c r="Q6" i="45"/>
  <c r="T6" i="45"/>
  <c r="R5" i="45"/>
  <c r="P5" i="45"/>
  <c r="N5" i="45"/>
  <c r="R4" i="45"/>
  <c r="P4" i="45"/>
  <c r="N4" i="45"/>
  <c r="O4" i="45"/>
  <c r="S39" i="44"/>
  <c r="G39" i="44"/>
  <c r="F39" i="44"/>
  <c r="E39" i="44"/>
  <c r="R38" i="44"/>
  <c r="P38" i="44"/>
  <c r="N38" i="44"/>
  <c r="O38" i="44"/>
  <c r="Q38" i="44"/>
  <c r="T38" i="44"/>
  <c r="R37" i="44"/>
  <c r="P37" i="44"/>
  <c r="Q37" i="44"/>
  <c r="T37" i="44"/>
  <c r="N37" i="44"/>
  <c r="O37" i="44"/>
  <c r="R36" i="44"/>
  <c r="P36" i="44"/>
  <c r="N36" i="44"/>
  <c r="O36" i="44"/>
  <c r="R35" i="44"/>
  <c r="P35" i="44"/>
  <c r="Q35" i="44"/>
  <c r="T35" i="44"/>
  <c r="N35" i="44"/>
  <c r="O35" i="44"/>
  <c r="R34" i="44"/>
  <c r="P34" i="44"/>
  <c r="N34" i="44"/>
  <c r="O34" i="44"/>
  <c r="Q34" i="44"/>
  <c r="T34" i="44"/>
  <c r="R33" i="44"/>
  <c r="P33" i="44"/>
  <c r="N33" i="44"/>
  <c r="O33" i="44"/>
  <c r="R32" i="44"/>
  <c r="P32" i="44"/>
  <c r="N32" i="44"/>
  <c r="O32" i="44"/>
  <c r="Q32" i="44"/>
  <c r="T32" i="44"/>
  <c r="R31" i="44"/>
  <c r="P31" i="44"/>
  <c r="N31" i="44"/>
  <c r="O31" i="44"/>
  <c r="Q31" i="44"/>
  <c r="T31" i="44"/>
  <c r="R30" i="44"/>
  <c r="P30" i="44"/>
  <c r="N30" i="44"/>
  <c r="O30" i="44"/>
  <c r="R29" i="44"/>
  <c r="P29" i="44"/>
  <c r="N29" i="44"/>
  <c r="O29" i="44"/>
  <c r="R28" i="44"/>
  <c r="P28" i="44"/>
  <c r="N28" i="44"/>
  <c r="O28" i="44"/>
  <c r="R27" i="44"/>
  <c r="P27" i="44"/>
  <c r="N27" i="44"/>
  <c r="O27" i="44"/>
  <c r="R26" i="44"/>
  <c r="P26" i="44"/>
  <c r="Q26" i="44"/>
  <c r="T26" i="44"/>
  <c r="N26" i="44"/>
  <c r="O26" i="44"/>
  <c r="R25" i="44"/>
  <c r="P25" i="44"/>
  <c r="N25" i="44"/>
  <c r="O25" i="44"/>
  <c r="Q25" i="44"/>
  <c r="T25" i="44"/>
  <c r="R24" i="44"/>
  <c r="P24" i="44"/>
  <c r="N24" i="44"/>
  <c r="O24" i="44"/>
  <c r="R23" i="44"/>
  <c r="P23" i="44"/>
  <c r="N23" i="44"/>
  <c r="O23" i="44"/>
  <c r="Q23" i="44"/>
  <c r="T23" i="44"/>
  <c r="R22" i="44"/>
  <c r="P22" i="44"/>
  <c r="N22" i="44"/>
  <c r="O22" i="44"/>
  <c r="R21" i="44"/>
  <c r="P21" i="44"/>
  <c r="N21" i="44"/>
  <c r="O21" i="44"/>
  <c r="R20" i="44"/>
  <c r="P20" i="44"/>
  <c r="N20" i="44"/>
  <c r="O20" i="44"/>
  <c r="Q20" i="44"/>
  <c r="T20" i="44"/>
  <c r="R19" i="44"/>
  <c r="P19" i="44"/>
  <c r="N19" i="44"/>
  <c r="O19" i="44"/>
  <c r="R18" i="44"/>
  <c r="P18" i="44"/>
  <c r="N18" i="44"/>
  <c r="O18" i="44"/>
  <c r="R17" i="44"/>
  <c r="P17" i="44"/>
  <c r="N17" i="44"/>
  <c r="O17" i="44"/>
  <c r="R16" i="44"/>
  <c r="P16" i="44"/>
  <c r="N16" i="44"/>
  <c r="O16" i="44"/>
  <c r="R15" i="44"/>
  <c r="P15" i="44"/>
  <c r="N15" i="44"/>
  <c r="O15" i="44"/>
  <c r="R14" i="44"/>
  <c r="P14" i="44"/>
  <c r="Q14" i="44"/>
  <c r="T14" i="44"/>
  <c r="N14" i="44"/>
  <c r="O14" i="44"/>
  <c r="R13" i="44"/>
  <c r="P13" i="44"/>
  <c r="N13" i="44"/>
  <c r="O13" i="44"/>
  <c r="Q13" i="44"/>
  <c r="T13" i="44"/>
  <c r="R12" i="44"/>
  <c r="P12" i="44"/>
  <c r="N12" i="44"/>
  <c r="O12" i="44"/>
  <c r="R11" i="44"/>
  <c r="P11" i="44"/>
  <c r="Q11" i="44"/>
  <c r="T11" i="44"/>
  <c r="O11" i="44"/>
  <c r="N11" i="44"/>
  <c r="R10" i="44"/>
  <c r="P10" i="44"/>
  <c r="Q10" i="44"/>
  <c r="T10" i="44"/>
  <c r="N10" i="44"/>
  <c r="O10" i="44"/>
  <c r="R9" i="44"/>
  <c r="P9" i="44"/>
  <c r="N9" i="44"/>
  <c r="O9" i="44"/>
  <c r="Q9" i="44"/>
  <c r="T9" i="44"/>
  <c r="R8" i="44"/>
  <c r="P8" i="44"/>
  <c r="Q8" i="44"/>
  <c r="T8" i="44"/>
  <c r="N8" i="44"/>
  <c r="O8" i="44"/>
  <c r="R7" i="44"/>
  <c r="P7" i="44"/>
  <c r="N7" i="44"/>
  <c r="O7" i="44"/>
  <c r="Q7" i="44"/>
  <c r="T7" i="44"/>
  <c r="R6" i="44"/>
  <c r="P6" i="44"/>
  <c r="N6" i="44"/>
  <c r="O6" i="44"/>
  <c r="Q6" i="44"/>
  <c r="T6" i="44"/>
  <c r="R5" i="44"/>
  <c r="P5" i="44"/>
  <c r="P39" i="44"/>
  <c r="O5" i="44"/>
  <c r="N5" i="44"/>
  <c r="R4" i="44"/>
  <c r="P4" i="44"/>
  <c r="N4" i="44"/>
  <c r="O4" i="44"/>
  <c r="S39" i="43"/>
  <c r="G39" i="43"/>
  <c r="F39" i="43"/>
  <c r="E39" i="43"/>
  <c r="R38" i="43"/>
  <c r="P38" i="43"/>
  <c r="Q38" i="43"/>
  <c r="T38" i="43"/>
  <c r="O38" i="43"/>
  <c r="N38" i="43"/>
  <c r="R37" i="43"/>
  <c r="P37" i="43"/>
  <c r="N37" i="43"/>
  <c r="O37" i="43"/>
  <c r="Q37" i="43"/>
  <c r="T37" i="43"/>
  <c r="R36" i="43"/>
  <c r="P36" i="43"/>
  <c r="O36" i="43"/>
  <c r="N36" i="43"/>
  <c r="R35" i="43"/>
  <c r="P35" i="43"/>
  <c r="O35" i="43"/>
  <c r="Q35" i="43"/>
  <c r="T35" i="43"/>
  <c r="N35" i="43"/>
  <c r="R34" i="43"/>
  <c r="P34" i="43"/>
  <c r="Q34" i="43"/>
  <c r="T34" i="43"/>
  <c r="O34" i="43"/>
  <c r="N34" i="43"/>
  <c r="R33" i="43"/>
  <c r="P33" i="43"/>
  <c r="N33" i="43"/>
  <c r="O33" i="43"/>
  <c r="Q33" i="43"/>
  <c r="T33" i="43"/>
  <c r="R32" i="43"/>
  <c r="P32" i="43"/>
  <c r="O32" i="43"/>
  <c r="Q32" i="43"/>
  <c r="T32" i="43"/>
  <c r="N32" i="43"/>
  <c r="R31" i="43"/>
  <c r="P31" i="43"/>
  <c r="N31" i="43"/>
  <c r="O31" i="43"/>
  <c r="Q31" i="43"/>
  <c r="T31" i="43"/>
  <c r="R30" i="43"/>
  <c r="P30" i="43"/>
  <c r="O30" i="43"/>
  <c r="N30" i="43"/>
  <c r="R29" i="43"/>
  <c r="P29" i="43"/>
  <c r="O29" i="43"/>
  <c r="Q29" i="43"/>
  <c r="T29" i="43"/>
  <c r="N29" i="43"/>
  <c r="R28" i="43"/>
  <c r="P28" i="43"/>
  <c r="O28" i="43"/>
  <c r="Q28" i="43"/>
  <c r="T28" i="43"/>
  <c r="N28" i="43"/>
  <c r="R27" i="43"/>
  <c r="P27" i="43"/>
  <c r="N27" i="43"/>
  <c r="O27" i="43"/>
  <c r="Q27" i="43"/>
  <c r="T27" i="43"/>
  <c r="R26" i="43"/>
  <c r="P26" i="43"/>
  <c r="Q26" i="43"/>
  <c r="T26" i="43"/>
  <c r="O26" i="43"/>
  <c r="N26" i="43"/>
  <c r="R25" i="43"/>
  <c r="P25" i="43"/>
  <c r="N25" i="43"/>
  <c r="O25" i="43"/>
  <c r="Q25" i="43"/>
  <c r="T25" i="43"/>
  <c r="R24" i="43"/>
  <c r="P24" i="43"/>
  <c r="O24" i="43"/>
  <c r="Q24" i="43"/>
  <c r="T24" i="43"/>
  <c r="N24" i="43"/>
  <c r="R23" i="43"/>
  <c r="P23" i="43"/>
  <c r="O23" i="43"/>
  <c r="Q23" i="43"/>
  <c r="T23" i="43"/>
  <c r="N23" i="43"/>
  <c r="R22" i="43"/>
  <c r="P22" i="43"/>
  <c r="O22" i="43"/>
  <c r="Q22" i="43"/>
  <c r="T22" i="43"/>
  <c r="N22" i="43"/>
  <c r="R21" i="43"/>
  <c r="P21" i="43"/>
  <c r="N21" i="43"/>
  <c r="O21" i="43"/>
  <c r="Q21" i="43"/>
  <c r="T21" i="43"/>
  <c r="R20" i="43"/>
  <c r="P20" i="43"/>
  <c r="Q20" i="43"/>
  <c r="T20" i="43"/>
  <c r="O20" i="43"/>
  <c r="N20" i="43"/>
  <c r="R19" i="43"/>
  <c r="P19" i="43"/>
  <c r="N19" i="43"/>
  <c r="R18" i="43"/>
  <c r="P18" i="43"/>
  <c r="O18" i="43"/>
  <c r="Q18" i="43"/>
  <c r="T18" i="43"/>
  <c r="N18" i="43"/>
  <c r="R17" i="43"/>
  <c r="P17" i="43"/>
  <c r="Q17" i="43"/>
  <c r="T17" i="43"/>
  <c r="O17" i="43"/>
  <c r="N17" i="43"/>
  <c r="R16" i="43"/>
  <c r="P16" i="43"/>
  <c r="Q16" i="43"/>
  <c r="T16" i="43"/>
  <c r="O16" i="43"/>
  <c r="N16" i="43"/>
  <c r="R15" i="43"/>
  <c r="P15" i="43"/>
  <c r="O15" i="43"/>
  <c r="Q15" i="43"/>
  <c r="T15" i="43"/>
  <c r="N15" i="43"/>
  <c r="R14" i="43"/>
  <c r="P14" i="43"/>
  <c r="Q14" i="43"/>
  <c r="T14" i="43"/>
  <c r="O14" i="43"/>
  <c r="N14" i="43"/>
  <c r="R13" i="43"/>
  <c r="P13" i="43"/>
  <c r="N13" i="43"/>
  <c r="O13" i="43"/>
  <c r="Q13" i="43"/>
  <c r="T13" i="43"/>
  <c r="R12" i="43"/>
  <c r="P12" i="43"/>
  <c r="O12" i="43"/>
  <c r="N12" i="43"/>
  <c r="R11" i="43"/>
  <c r="P11" i="43"/>
  <c r="O11" i="43"/>
  <c r="Q11" i="43"/>
  <c r="T11" i="43"/>
  <c r="N11" i="43"/>
  <c r="R10" i="43"/>
  <c r="P10" i="43"/>
  <c r="Q10" i="43"/>
  <c r="O10" i="43"/>
  <c r="T10" i="43"/>
  <c r="N10" i="43"/>
  <c r="R9" i="43"/>
  <c r="P9" i="43"/>
  <c r="O9" i="43"/>
  <c r="Q9" i="43"/>
  <c r="T9" i="43"/>
  <c r="N9" i="43"/>
  <c r="R8" i="43"/>
  <c r="P8" i="43"/>
  <c r="Q8" i="43"/>
  <c r="T8" i="43"/>
  <c r="O8" i="43"/>
  <c r="N8" i="43"/>
  <c r="R7" i="43"/>
  <c r="P7" i="43"/>
  <c r="N7" i="43"/>
  <c r="O7" i="43"/>
  <c r="Q7" i="43"/>
  <c r="T7" i="43"/>
  <c r="R6" i="43"/>
  <c r="P6" i="43"/>
  <c r="O6" i="43"/>
  <c r="Q6" i="43"/>
  <c r="T6" i="43"/>
  <c r="N6" i="43"/>
  <c r="R5" i="43"/>
  <c r="P5" i="43"/>
  <c r="N5" i="43"/>
  <c r="O5" i="43"/>
  <c r="R4" i="43"/>
  <c r="P4" i="43"/>
  <c r="N4" i="43"/>
  <c r="S39" i="42"/>
  <c r="G39" i="42"/>
  <c r="F39" i="42"/>
  <c r="E39" i="42"/>
  <c r="R38" i="42"/>
  <c r="P38" i="42"/>
  <c r="N38" i="42"/>
  <c r="O38" i="42"/>
  <c r="R37" i="42"/>
  <c r="P37" i="42"/>
  <c r="N37" i="42"/>
  <c r="O37" i="42"/>
  <c r="Q37" i="42"/>
  <c r="T37" i="42"/>
  <c r="R36" i="42"/>
  <c r="P36" i="42"/>
  <c r="N36" i="42"/>
  <c r="O36" i="42"/>
  <c r="Q36" i="42"/>
  <c r="T36" i="42"/>
  <c r="R35" i="42"/>
  <c r="P35" i="42"/>
  <c r="Q35" i="42"/>
  <c r="N35" i="42"/>
  <c r="O35" i="42"/>
  <c r="R34" i="42"/>
  <c r="P34" i="42"/>
  <c r="N34" i="42"/>
  <c r="O34" i="42"/>
  <c r="R33" i="42"/>
  <c r="P33" i="42"/>
  <c r="N33" i="42"/>
  <c r="O33" i="42"/>
  <c r="R32" i="42"/>
  <c r="P32" i="42"/>
  <c r="Q32" i="42"/>
  <c r="T32" i="42"/>
  <c r="N32" i="42"/>
  <c r="O32" i="42"/>
  <c r="R31" i="42"/>
  <c r="P31" i="42"/>
  <c r="N31" i="42"/>
  <c r="O31" i="42"/>
  <c r="R30" i="42"/>
  <c r="P30" i="42"/>
  <c r="Q30" i="42"/>
  <c r="T30" i="42"/>
  <c r="N30" i="42"/>
  <c r="O30" i="42"/>
  <c r="R29" i="42"/>
  <c r="P29" i="42"/>
  <c r="N29" i="42"/>
  <c r="O29" i="42"/>
  <c r="Q29" i="42"/>
  <c r="T29" i="42"/>
  <c r="R28" i="42"/>
  <c r="P28" i="42"/>
  <c r="Q28" i="42"/>
  <c r="T28" i="42"/>
  <c r="N28" i="42"/>
  <c r="O28" i="42"/>
  <c r="R27" i="42"/>
  <c r="P27" i="42"/>
  <c r="N27" i="42"/>
  <c r="O27" i="42"/>
  <c r="R26" i="42"/>
  <c r="P26" i="42"/>
  <c r="N26" i="42"/>
  <c r="O26" i="42"/>
  <c r="Q26" i="42"/>
  <c r="T26" i="42"/>
  <c r="R25" i="42"/>
  <c r="P25" i="42"/>
  <c r="Q25" i="42"/>
  <c r="T25" i="42"/>
  <c r="N25" i="42"/>
  <c r="O25" i="42"/>
  <c r="R24" i="42"/>
  <c r="P24" i="42"/>
  <c r="N24" i="42"/>
  <c r="O24" i="42"/>
  <c r="R23" i="42"/>
  <c r="P23" i="42"/>
  <c r="N23" i="42"/>
  <c r="O23" i="42"/>
  <c r="R22" i="42"/>
  <c r="P22" i="42"/>
  <c r="N22" i="42"/>
  <c r="O22" i="42"/>
  <c r="R21" i="42"/>
  <c r="P21" i="42"/>
  <c r="N21" i="42"/>
  <c r="O21" i="42"/>
  <c r="R20" i="42"/>
  <c r="P20" i="42"/>
  <c r="N20" i="42"/>
  <c r="O20" i="42"/>
  <c r="Q20" i="42"/>
  <c r="R19" i="42"/>
  <c r="P19" i="42"/>
  <c r="N19" i="42"/>
  <c r="O19" i="42"/>
  <c r="Q19" i="42"/>
  <c r="T19" i="42"/>
  <c r="R18" i="42"/>
  <c r="P18" i="42"/>
  <c r="N18" i="42"/>
  <c r="O18" i="42"/>
  <c r="R17" i="42"/>
  <c r="P17" i="42"/>
  <c r="N17" i="42"/>
  <c r="O17" i="42"/>
  <c r="R16" i="42"/>
  <c r="P16" i="42"/>
  <c r="N16" i="42"/>
  <c r="O16" i="42"/>
  <c r="Q16" i="42"/>
  <c r="T16" i="42"/>
  <c r="R15" i="42"/>
  <c r="P15" i="42"/>
  <c r="N15" i="42"/>
  <c r="O15" i="42"/>
  <c r="R14" i="42"/>
  <c r="P14" i="42"/>
  <c r="Q14" i="42"/>
  <c r="T14" i="42"/>
  <c r="N14" i="42"/>
  <c r="O14" i="42"/>
  <c r="R13" i="42"/>
  <c r="P13" i="42"/>
  <c r="N13" i="42"/>
  <c r="O13" i="42"/>
  <c r="R12" i="42"/>
  <c r="P12" i="42"/>
  <c r="N12" i="42"/>
  <c r="O12" i="42"/>
  <c r="R11" i="42"/>
  <c r="P11" i="42"/>
  <c r="Q11" i="42"/>
  <c r="T11" i="42"/>
  <c r="N11" i="42"/>
  <c r="O11" i="42"/>
  <c r="R10" i="42"/>
  <c r="P10" i="42"/>
  <c r="Q10" i="42"/>
  <c r="T10" i="42"/>
  <c r="N10" i="42"/>
  <c r="O10" i="42"/>
  <c r="R9" i="42"/>
  <c r="P9" i="42"/>
  <c r="O9" i="42"/>
  <c r="Q9" i="42"/>
  <c r="T9" i="42"/>
  <c r="N9" i="42"/>
  <c r="R8" i="42"/>
  <c r="P8" i="42"/>
  <c r="N8" i="42"/>
  <c r="O8" i="42"/>
  <c r="Q8" i="42"/>
  <c r="T8" i="42"/>
  <c r="R7" i="42"/>
  <c r="P7" i="42"/>
  <c r="O7" i="42"/>
  <c r="Q7" i="42"/>
  <c r="T7" i="42"/>
  <c r="N7" i="42"/>
  <c r="R6" i="42"/>
  <c r="P6" i="42"/>
  <c r="N6" i="42"/>
  <c r="O6" i="42"/>
  <c r="Q6" i="42"/>
  <c r="T6" i="42"/>
  <c r="R5" i="42"/>
  <c r="P5" i="42"/>
  <c r="N5" i="42"/>
  <c r="O5" i="42"/>
  <c r="Q5" i="42"/>
  <c r="T5" i="42"/>
  <c r="R4" i="42"/>
  <c r="P4" i="42"/>
  <c r="Q4" i="42"/>
  <c r="N4" i="42"/>
  <c r="O4" i="42"/>
  <c r="S39" i="41"/>
  <c r="G39" i="41"/>
  <c r="F39" i="41"/>
  <c r="E39" i="41"/>
  <c r="R38" i="41"/>
  <c r="P38" i="41"/>
  <c r="N38" i="41"/>
  <c r="O38" i="41"/>
  <c r="Q38" i="41"/>
  <c r="T38" i="41"/>
  <c r="R37" i="41"/>
  <c r="P37" i="41"/>
  <c r="N37" i="41"/>
  <c r="O37" i="41"/>
  <c r="Q37" i="41"/>
  <c r="T37" i="41"/>
  <c r="R36" i="41"/>
  <c r="P36" i="41"/>
  <c r="N36" i="41"/>
  <c r="O36" i="41"/>
  <c r="Q36" i="41"/>
  <c r="T36" i="41"/>
  <c r="R35" i="41"/>
  <c r="P35" i="41"/>
  <c r="N35" i="41"/>
  <c r="O35" i="41"/>
  <c r="Q35" i="41"/>
  <c r="T35" i="41"/>
  <c r="R34" i="41"/>
  <c r="P34" i="41"/>
  <c r="Q34" i="41"/>
  <c r="T34" i="41"/>
  <c r="N34" i="41"/>
  <c r="O34" i="41"/>
  <c r="R33" i="41"/>
  <c r="P33" i="41"/>
  <c r="N33" i="41"/>
  <c r="O33" i="41"/>
  <c r="Q33" i="41"/>
  <c r="T33" i="41"/>
  <c r="R32" i="41"/>
  <c r="P32" i="41"/>
  <c r="N32" i="41"/>
  <c r="O32" i="41"/>
  <c r="Q32" i="41"/>
  <c r="T32" i="41"/>
  <c r="R31" i="41"/>
  <c r="P31" i="41"/>
  <c r="N31" i="41"/>
  <c r="O31" i="41"/>
  <c r="Q31" i="41"/>
  <c r="T31" i="41"/>
  <c r="R30" i="41"/>
  <c r="P30" i="41"/>
  <c r="N30" i="41"/>
  <c r="O30" i="41"/>
  <c r="Q30" i="41"/>
  <c r="T30" i="41"/>
  <c r="R29" i="41"/>
  <c r="P29" i="41"/>
  <c r="N29" i="41"/>
  <c r="O29" i="41"/>
  <c r="Q29" i="41"/>
  <c r="T29" i="41"/>
  <c r="R28" i="41"/>
  <c r="P28" i="41"/>
  <c r="Q28" i="41"/>
  <c r="T28" i="41"/>
  <c r="N28" i="41"/>
  <c r="O28" i="41"/>
  <c r="R27" i="41"/>
  <c r="P27" i="41"/>
  <c r="N27" i="41"/>
  <c r="O27" i="41"/>
  <c r="Q27" i="41"/>
  <c r="T27" i="41"/>
  <c r="R26" i="41"/>
  <c r="P26" i="41"/>
  <c r="N26" i="41"/>
  <c r="O26" i="41"/>
  <c r="Q26" i="41"/>
  <c r="T26" i="41"/>
  <c r="R25" i="41"/>
  <c r="P25" i="41"/>
  <c r="N25" i="41"/>
  <c r="O25" i="41"/>
  <c r="Q25" i="41"/>
  <c r="T25" i="41"/>
  <c r="R24" i="41"/>
  <c r="P24" i="41"/>
  <c r="N24" i="41"/>
  <c r="O24" i="41"/>
  <c r="Q24" i="41"/>
  <c r="T24" i="41"/>
  <c r="R23" i="41"/>
  <c r="P23" i="41"/>
  <c r="N23" i="41"/>
  <c r="O23" i="41"/>
  <c r="Q23" i="41"/>
  <c r="T23" i="41"/>
  <c r="R22" i="41"/>
  <c r="P22" i="41"/>
  <c r="Q22" i="41"/>
  <c r="T22" i="41"/>
  <c r="N22" i="41"/>
  <c r="O22" i="41"/>
  <c r="R21" i="41"/>
  <c r="P21" i="41"/>
  <c r="N21" i="41"/>
  <c r="O21" i="41"/>
  <c r="Q21" i="41"/>
  <c r="T21" i="41"/>
  <c r="R20" i="41"/>
  <c r="P20" i="41"/>
  <c r="N20" i="41"/>
  <c r="O20" i="41"/>
  <c r="Q20" i="41"/>
  <c r="T20" i="41"/>
  <c r="R19" i="41"/>
  <c r="P19" i="41"/>
  <c r="N19" i="41"/>
  <c r="O19" i="41"/>
  <c r="Q19" i="41"/>
  <c r="T19" i="41"/>
  <c r="R18" i="41"/>
  <c r="P18" i="41"/>
  <c r="N18" i="41"/>
  <c r="O18" i="41"/>
  <c r="Q18" i="41"/>
  <c r="T18" i="41"/>
  <c r="R17" i="41"/>
  <c r="P17" i="41"/>
  <c r="N17" i="41"/>
  <c r="O17" i="41"/>
  <c r="Q17" i="41"/>
  <c r="T17" i="41"/>
  <c r="R16" i="41"/>
  <c r="P16" i="41"/>
  <c r="N16" i="41"/>
  <c r="O16" i="41"/>
  <c r="Q16" i="41"/>
  <c r="T16" i="41"/>
  <c r="R15" i="41"/>
  <c r="P15" i="41"/>
  <c r="N15" i="41"/>
  <c r="O15" i="41"/>
  <c r="Q15" i="41"/>
  <c r="T15" i="41"/>
  <c r="R14" i="41"/>
  <c r="P14" i="41"/>
  <c r="N14" i="41"/>
  <c r="O14" i="41"/>
  <c r="Q14" i="41"/>
  <c r="T14" i="41"/>
  <c r="R13" i="41"/>
  <c r="P13" i="41"/>
  <c r="N13" i="41"/>
  <c r="O13" i="41"/>
  <c r="Q13" i="41"/>
  <c r="T13" i="41"/>
  <c r="R12" i="41"/>
  <c r="P12" i="41"/>
  <c r="N12" i="41"/>
  <c r="O12" i="41"/>
  <c r="Q12" i="41"/>
  <c r="T12" i="41"/>
  <c r="R11" i="41"/>
  <c r="P11" i="41"/>
  <c r="N11" i="41"/>
  <c r="O11" i="41"/>
  <c r="Q11" i="41"/>
  <c r="T11" i="41"/>
  <c r="R10" i="41"/>
  <c r="P10" i="41"/>
  <c r="Q10" i="41"/>
  <c r="T10" i="41"/>
  <c r="N10" i="41"/>
  <c r="O10" i="41"/>
  <c r="R9" i="41"/>
  <c r="P9" i="41"/>
  <c r="N9" i="41"/>
  <c r="O9" i="41"/>
  <c r="Q9" i="41"/>
  <c r="T9" i="41"/>
  <c r="R8" i="41"/>
  <c r="P8" i="41"/>
  <c r="N8" i="41"/>
  <c r="O8" i="41"/>
  <c r="Q8" i="41"/>
  <c r="T8" i="41"/>
  <c r="R7" i="41"/>
  <c r="P7" i="41"/>
  <c r="N7" i="41"/>
  <c r="O7" i="41"/>
  <c r="Q7" i="41"/>
  <c r="T7" i="41"/>
  <c r="R6" i="41"/>
  <c r="P6" i="41"/>
  <c r="N6" i="41"/>
  <c r="O6" i="41"/>
  <c r="R5" i="41"/>
  <c r="P5" i="41"/>
  <c r="Q5" i="41"/>
  <c r="T5" i="41"/>
  <c r="N5" i="41"/>
  <c r="O5" i="41"/>
  <c r="R4" i="41"/>
  <c r="P4" i="41"/>
  <c r="N4" i="41"/>
  <c r="S39" i="40"/>
  <c r="G39" i="40"/>
  <c r="F39" i="40"/>
  <c r="E39" i="40"/>
  <c r="R38" i="40"/>
  <c r="P38" i="40"/>
  <c r="N38" i="40"/>
  <c r="O38" i="40"/>
  <c r="Q38" i="40"/>
  <c r="T38" i="40"/>
  <c r="R37" i="40"/>
  <c r="P37" i="40"/>
  <c r="N37" i="40"/>
  <c r="O37" i="40"/>
  <c r="R36" i="40"/>
  <c r="P36" i="40"/>
  <c r="N36" i="40"/>
  <c r="O36" i="40"/>
  <c r="Q36" i="40"/>
  <c r="T36" i="40"/>
  <c r="R35" i="40"/>
  <c r="P35" i="40"/>
  <c r="N35" i="40"/>
  <c r="O35" i="40"/>
  <c r="R34" i="40"/>
  <c r="P34" i="40"/>
  <c r="N34" i="40"/>
  <c r="O34" i="40"/>
  <c r="Q34" i="40"/>
  <c r="T34" i="40"/>
  <c r="R33" i="40"/>
  <c r="P33" i="40"/>
  <c r="N33" i="40"/>
  <c r="O33" i="40"/>
  <c r="Q33" i="40"/>
  <c r="R32" i="40"/>
  <c r="P32" i="40"/>
  <c r="Q32" i="40"/>
  <c r="T32" i="40"/>
  <c r="N32" i="40"/>
  <c r="O32" i="40"/>
  <c r="R31" i="40"/>
  <c r="P31" i="40"/>
  <c r="N31" i="40"/>
  <c r="O31" i="40"/>
  <c r="R30" i="40"/>
  <c r="P30" i="40"/>
  <c r="Q30" i="40"/>
  <c r="T30" i="40"/>
  <c r="N30" i="40"/>
  <c r="O30" i="40"/>
  <c r="R29" i="40"/>
  <c r="P29" i="40"/>
  <c r="Q29" i="40"/>
  <c r="T29" i="40"/>
  <c r="N29" i="40"/>
  <c r="O29" i="40"/>
  <c r="R28" i="40"/>
  <c r="P28" i="40"/>
  <c r="Q28" i="40"/>
  <c r="T28" i="40"/>
  <c r="N28" i="40"/>
  <c r="O28" i="40"/>
  <c r="R27" i="40"/>
  <c r="P27" i="40"/>
  <c r="N27" i="40"/>
  <c r="O27" i="40"/>
  <c r="R26" i="40"/>
  <c r="P26" i="40"/>
  <c r="N26" i="40"/>
  <c r="O26" i="40"/>
  <c r="R25" i="40"/>
  <c r="P25" i="40"/>
  <c r="N25" i="40"/>
  <c r="O25" i="40"/>
  <c r="Q25" i="40"/>
  <c r="T25" i="40"/>
  <c r="R24" i="40"/>
  <c r="P24" i="40"/>
  <c r="N24" i="40"/>
  <c r="O24" i="40"/>
  <c r="R23" i="40"/>
  <c r="P23" i="40"/>
  <c r="N23" i="40"/>
  <c r="O23" i="40"/>
  <c r="R22" i="40"/>
  <c r="P22" i="40"/>
  <c r="N22" i="40"/>
  <c r="O22" i="40"/>
  <c r="Q22" i="40"/>
  <c r="T22" i="40"/>
  <c r="R21" i="40"/>
  <c r="P21" i="40"/>
  <c r="Q21" i="40"/>
  <c r="T21" i="40"/>
  <c r="N21" i="40"/>
  <c r="O21" i="40"/>
  <c r="R20" i="40"/>
  <c r="P20" i="40"/>
  <c r="N20" i="40"/>
  <c r="O20" i="40"/>
  <c r="R19" i="40"/>
  <c r="P19" i="40"/>
  <c r="N19" i="40"/>
  <c r="O19" i="40"/>
  <c r="R18" i="40"/>
  <c r="P18" i="40"/>
  <c r="N18" i="40"/>
  <c r="O18" i="40"/>
  <c r="R17" i="40"/>
  <c r="P17" i="40"/>
  <c r="N17" i="40"/>
  <c r="O17" i="40"/>
  <c r="R16" i="40"/>
  <c r="P16" i="40"/>
  <c r="N16" i="40"/>
  <c r="O16" i="40"/>
  <c r="Q16" i="40"/>
  <c r="T16" i="40"/>
  <c r="R15" i="40"/>
  <c r="P15" i="40"/>
  <c r="N15" i="40"/>
  <c r="O15" i="40"/>
  <c r="R14" i="40"/>
  <c r="P14" i="40"/>
  <c r="Q14" i="40"/>
  <c r="T14" i="40"/>
  <c r="N14" i="40"/>
  <c r="O14" i="40"/>
  <c r="R13" i="40"/>
  <c r="P13" i="40"/>
  <c r="N13" i="40"/>
  <c r="O13" i="40"/>
  <c r="R12" i="40"/>
  <c r="P12" i="40"/>
  <c r="Q12" i="40"/>
  <c r="T12" i="40"/>
  <c r="N12" i="40"/>
  <c r="O12" i="40"/>
  <c r="R11" i="40"/>
  <c r="P11" i="40"/>
  <c r="Q11" i="40"/>
  <c r="T11" i="40"/>
  <c r="N11" i="40"/>
  <c r="O11" i="40"/>
  <c r="R10" i="40"/>
  <c r="P10" i="40"/>
  <c r="N10" i="40"/>
  <c r="O10" i="40"/>
  <c r="Q10" i="40"/>
  <c r="T10" i="40"/>
  <c r="R9" i="40"/>
  <c r="P9" i="40"/>
  <c r="N9" i="40"/>
  <c r="O9" i="40"/>
  <c r="Q9" i="40"/>
  <c r="T9" i="40"/>
  <c r="R8" i="40"/>
  <c r="P8" i="40"/>
  <c r="N8" i="40"/>
  <c r="O8" i="40"/>
  <c r="Q8" i="40"/>
  <c r="T8" i="40"/>
  <c r="R7" i="40"/>
  <c r="P7" i="40"/>
  <c r="O7" i="40"/>
  <c r="N7" i="40"/>
  <c r="R6" i="40"/>
  <c r="P6" i="40"/>
  <c r="N6" i="40"/>
  <c r="O6" i="40"/>
  <c r="Q6" i="40"/>
  <c r="R5" i="40"/>
  <c r="P5" i="40"/>
  <c r="N5" i="40"/>
  <c r="O5" i="40"/>
  <c r="Q5" i="40"/>
  <c r="R4" i="40"/>
  <c r="P4" i="40"/>
  <c r="N4" i="40"/>
  <c r="O4" i="40"/>
  <c r="S39" i="39"/>
  <c r="G39" i="39"/>
  <c r="F39" i="39"/>
  <c r="E39" i="39"/>
  <c r="R38" i="39"/>
  <c r="P38" i="39"/>
  <c r="N38" i="39"/>
  <c r="O38" i="39"/>
  <c r="Q38" i="39"/>
  <c r="T38" i="39"/>
  <c r="R37" i="39"/>
  <c r="P37" i="39"/>
  <c r="N37" i="39"/>
  <c r="O37" i="39"/>
  <c r="Q37" i="39"/>
  <c r="T37" i="39"/>
  <c r="R36" i="39"/>
  <c r="P36" i="39"/>
  <c r="N36" i="39"/>
  <c r="O36" i="39"/>
  <c r="R35" i="39"/>
  <c r="P35" i="39"/>
  <c r="N35" i="39"/>
  <c r="O35" i="39"/>
  <c r="Q35" i="39"/>
  <c r="T35" i="39"/>
  <c r="R34" i="39"/>
  <c r="P34" i="39"/>
  <c r="N34" i="39"/>
  <c r="O34" i="39"/>
  <c r="Q34" i="39"/>
  <c r="T34" i="39"/>
  <c r="R33" i="39"/>
  <c r="P33" i="39"/>
  <c r="N33" i="39"/>
  <c r="O33" i="39"/>
  <c r="Q33" i="39"/>
  <c r="T33" i="39"/>
  <c r="R32" i="39"/>
  <c r="P32" i="39"/>
  <c r="N32" i="39"/>
  <c r="O32" i="39"/>
  <c r="Q32" i="39"/>
  <c r="T32" i="39"/>
  <c r="R31" i="39"/>
  <c r="P31" i="39"/>
  <c r="N31" i="39"/>
  <c r="O31" i="39"/>
  <c r="Q31" i="39"/>
  <c r="T31" i="39"/>
  <c r="R30" i="39"/>
  <c r="P30" i="39"/>
  <c r="N30" i="39"/>
  <c r="O30" i="39"/>
  <c r="R29" i="39"/>
  <c r="P29" i="39"/>
  <c r="N29" i="39"/>
  <c r="O29" i="39"/>
  <c r="Q29" i="39"/>
  <c r="T29" i="39"/>
  <c r="R28" i="39"/>
  <c r="P28" i="39"/>
  <c r="N28" i="39"/>
  <c r="O28" i="39"/>
  <c r="R27" i="39"/>
  <c r="P27" i="39"/>
  <c r="N27" i="39"/>
  <c r="O27" i="39"/>
  <c r="Q27" i="39"/>
  <c r="T27" i="39"/>
  <c r="R26" i="39"/>
  <c r="P26" i="39"/>
  <c r="N26" i="39"/>
  <c r="O26" i="39"/>
  <c r="R25" i="39"/>
  <c r="P25" i="39"/>
  <c r="N25" i="39"/>
  <c r="O25" i="39"/>
  <c r="R24" i="39"/>
  <c r="P24" i="39"/>
  <c r="N24" i="39"/>
  <c r="O24" i="39"/>
  <c r="Q24" i="39"/>
  <c r="T24" i="39"/>
  <c r="R23" i="39"/>
  <c r="P23" i="39"/>
  <c r="N23" i="39"/>
  <c r="O23" i="39"/>
  <c r="R22" i="39"/>
  <c r="P22" i="39"/>
  <c r="Q22" i="39"/>
  <c r="T22" i="39"/>
  <c r="N22" i="39"/>
  <c r="O22" i="39"/>
  <c r="R21" i="39"/>
  <c r="P21" i="39"/>
  <c r="N21" i="39"/>
  <c r="O21" i="39"/>
  <c r="Q21" i="39"/>
  <c r="T21" i="39"/>
  <c r="R20" i="39"/>
  <c r="P20" i="39"/>
  <c r="N20" i="39"/>
  <c r="O20" i="39"/>
  <c r="Q20" i="39"/>
  <c r="T20" i="39"/>
  <c r="R19" i="39"/>
  <c r="P19" i="39"/>
  <c r="N19" i="39"/>
  <c r="O19" i="39"/>
  <c r="R18" i="39"/>
  <c r="P18" i="39"/>
  <c r="Q18" i="39"/>
  <c r="T18" i="39"/>
  <c r="N18" i="39"/>
  <c r="O18" i="39"/>
  <c r="R17" i="39"/>
  <c r="P17" i="39"/>
  <c r="N17" i="39"/>
  <c r="O17" i="39"/>
  <c r="Q17" i="39"/>
  <c r="T17" i="39"/>
  <c r="R16" i="39"/>
  <c r="P16" i="39"/>
  <c r="N16" i="39"/>
  <c r="O16" i="39"/>
  <c r="R15" i="39"/>
  <c r="P15" i="39"/>
  <c r="N15" i="39"/>
  <c r="O15" i="39"/>
  <c r="R14" i="39"/>
  <c r="P14" i="39"/>
  <c r="N14" i="39"/>
  <c r="O14" i="39"/>
  <c r="Q14" i="39"/>
  <c r="T14" i="39"/>
  <c r="R13" i="39"/>
  <c r="P13" i="39"/>
  <c r="N13" i="39"/>
  <c r="O13" i="39"/>
  <c r="Q13" i="39"/>
  <c r="T13" i="39"/>
  <c r="R12" i="39"/>
  <c r="P12" i="39"/>
  <c r="N12" i="39"/>
  <c r="O12" i="39"/>
  <c r="Q12" i="39"/>
  <c r="T12" i="39"/>
  <c r="R11" i="39"/>
  <c r="P11" i="39"/>
  <c r="N11" i="39"/>
  <c r="O11" i="39"/>
  <c r="R10" i="39"/>
  <c r="P10" i="39"/>
  <c r="N10" i="39"/>
  <c r="O10" i="39"/>
  <c r="Q10" i="39"/>
  <c r="T10" i="39"/>
  <c r="R9" i="39"/>
  <c r="P9" i="39"/>
  <c r="O9" i="39"/>
  <c r="N9" i="39"/>
  <c r="R8" i="39"/>
  <c r="P8" i="39"/>
  <c r="N8" i="39"/>
  <c r="O8" i="39"/>
  <c r="R7" i="39"/>
  <c r="P7" i="39"/>
  <c r="N7" i="39"/>
  <c r="O7" i="39"/>
  <c r="Q7" i="39"/>
  <c r="T7" i="39"/>
  <c r="R6" i="39"/>
  <c r="P6" i="39"/>
  <c r="O6" i="39"/>
  <c r="Q6" i="39"/>
  <c r="T6" i="39"/>
  <c r="N6" i="39"/>
  <c r="R5" i="39"/>
  <c r="P5" i="39"/>
  <c r="N5" i="39"/>
  <c r="R4" i="39"/>
  <c r="P4" i="39"/>
  <c r="O4" i="39"/>
  <c r="N4" i="39"/>
  <c r="S39" i="38"/>
  <c r="G39" i="38"/>
  <c r="F39" i="38"/>
  <c r="E39" i="38"/>
  <c r="R38" i="38"/>
  <c r="P38" i="38"/>
  <c r="Q38" i="38"/>
  <c r="T38" i="38"/>
  <c r="N38" i="38"/>
  <c r="O38" i="38"/>
  <c r="R37" i="38"/>
  <c r="P37" i="38"/>
  <c r="O37" i="38"/>
  <c r="Q37" i="38"/>
  <c r="T37" i="38"/>
  <c r="N37" i="38"/>
  <c r="R36" i="38"/>
  <c r="P36" i="38"/>
  <c r="N36" i="38"/>
  <c r="O36" i="38"/>
  <c r="Q36" i="38"/>
  <c r="T36" i="38"/>
  <c r="R35" i="38"/>
  <c r="P35" i="38"/>
  <c r="O35" i="38"/>
  <c r="N35" i="38"/>
  <c r="R34" i="38"/>
  <c r="P34" i="38"/>
  <c r="Q34" i="38"/>
  <c r="T34" i="38"/>
  <c r="N34" i="38"/>
  <c r="O34" i="38"/>
  <c r="R33" i="38"/>
  <c r="P33" i="38"/>
  <c r="O33" i="38"/>
  <c r="Q33" i="38"/>
  <c r="T33" i="38"/>
  <c r="N33" i="38"/>
  <c r="R32" i="38"/>
  <c r="P32" i="38"/>
  <c r="Q32" i="38"/>
  <c r="T32" i="38"/>
  <c r="N32" i="38"/>
  <c r="O32" i="38"/>
  <c r="R31" i="38"/>
  <c r="P31" i="38"/>
  <c r="Q31" i="38"/>
  <c r="O31" i="38"/>
  <c r="T31" i="38"/>
  <c r="N31" i="38"/>
  <c r="R30" i="38"/>
  <c r="P30" i="38"/>
  <c r="N30" i="38"/>
  <c r="O30" i="38"/>
  <c r="R29" i="38"/>
  <c r="P29" i="38"/>
  <c r="N29" i="38"/>
  <c r="O29" i="38"/>
  <c r="Q29" i="38"/>
  <c r="T29" i="38"/>
  <c r="R28" i="38"/>
  <c r="P28" i="38"/>
  <c r="N28" i="38"/>
  <c r="O28" i="38"/>
  <c r="Q28" i="38"/>
  <c r="T28" i="38"/>
  <c r="R27" i="38"/>
  <c r="P27" i="38"/>
  <c r="N27" i="38"/>
  <c r="O27" i="38"/>
  <c r="Q27" i="38"/>
  <c r="T27" i="38"/>
  <c r="R26" i="38"/>
  <c r="P26" i="38"/>
  <c r="N26" i="38"/>
  <c r="O26" i="38"/>
  <c r="R25" i="38"/>
  <c r="P25" i="38"/>
  <c r="Q25" i="38"/>
  <c r="T25" i="38"/>
  <c r="N25" i="38"/>
  <c r="O25" i="38"/>
  <c r="R24" i="38"/>
  <c r="P24" i="38"/>
  <c r="N24" i="38"/>
  <c r="O24" i="38"/>
  <c r="R23" i="38"/>
  <c r="P23" i="38"/>
  <c r="N23" i="38"/>
  <c r="O23" i="38"/>
  <c r="Q23" i="38"/>
  <c r="T23" i="38"/>
  <c r="R22" i="38"/>
  <c r="P22" i="38"/>
  <c r="Q22" i="38"/>
  <c r="T22" i="38"/>
  <c r="N22" i="38"/>
  <c r="O22" i="38"/>
  <c r="R21" i="38"/>
  <c r="P21" i="38"/>
  <c r="N21" i="38"/>
  <c r="O21" i="38"/>
  <c r="Q21" i="38"/>
  <c r="T21" i="38"/>
  <c r="R20" i="38"/>
  <c r="P20" i="38"/>
  <c r="Q20" i="38"/>
  <c r="T20" i="38"/>
  <c r="N20" i="38"/>
  <c r="O20" i="38"/>
  <c r="R19" i="38"/>
  <c r="P19" i="38"/>
  <c r="Q19" i="38"/>
  <c r="T19" i="38"/>
  <c r="O19" i="38"/>
  <c r="N19" i="38"/>
  <c r="R18" i="38"/>
  <c r="P18" i="38"/>
  <c r="N18" i="38"/>
  <c r="O18" i="38"/>
  <c r="Q18" i="38"/>
  <c r="T18" i="38"/>
  <c r="R17" i="38"/>
  <c r="P17" i="38"/>
  <c r="O17" i="38"/>
  <c r="Q17" i="38"/>
  <c r="T17" i="38"/>
  <c r="N17" i="38"/>
  <c r="R16" i="38"/>
  <c r="P16" i="38"/>
  <c r="N16" i="38"/>
  <c r="O16" i="38"/>
  <c r="Q16" i="38"/>
  <c r="T16" i="38"/>
  <c r="R15" i="38"/>
  <c r="P15" i="38"/>
  <c r="N15" i="38"/>
  <c r="O15" i="38"/>
  <c r="Q15" i="38"/>
  <c r="T15" i="38"/>
  <c r="R14" i="38"/>
  <c r="P14" i="38"/>
  <c r="O14" i="38"/>
  <c r="Q14" i="38"/>
  <c r="T14" i="38"/>
  <c r="N14" i="38"/>
  <c r="R13" i="38"/>
  <c r="P13" i="38"/>
  <c r="N13" i="38"/>
  <c r="O13" i="38"/>
  <c r="Q13" i="38"/>
  <c r="T13" i="38"/>
  <c r="R12" i="38"/>
  <c r="P12" i="38"/>
  <c r="N12" i="38"/>
  <c r="O12" i="38"/>
  <c r="Q12" i="38"/>
  <c r="T12" i="38"/>
  <c r="R11" i="38"/>
  <c r="P11" i="38"/>
  <c r="Q11" i="38"/>
  <c r="T11" i="38"/>
  <c r="N11" i="38"/>
  <c r="O11" i="38"/>
  <c r="R10" i="38"/>
  <c r="P10" i="38"/>
  <c r="N10" i="38"/>
  <c r="O10" i="38"/>
  <c r="Q10" i="38"/>
  <c r="T10" i="38"/>
  <c r="R9" i="38"/>
  <c r="P9" i="38"/>
  <c r="N9" i="38"/>
  <c r="O9" i="38"/>
  <c r="Q9" i="38"/>
  <c r="T9" i="38"/>
  <c r="R8" i="38"/>
  <c r="P8" i="38"/>
  <c r="O8" i="38"/>
  <c r="Q8" i="38"/>
  <c r="T8" i="38"/>
  <c r="N8" i="38"/>
  <c r="R7" i="38"/>
  <c r="P7" i="38"/>
  <c r="N7" i="38"/>
  <c r="O7" i="38"/>
  <c r="Q7" i="38"/>
  <c r="T7" i="38"/>
  <c r="R6" i="38"/>
  <c r="P6" i="38"/>
  <c r="N6" i="38"/>
  <c r="O6" i="38"/>
  <c r="Q6" i="38"/>
  <c r="T6" i="38"/>
  <c r="R5" i="38"/>
  <c r="P5" i="38"/>
  <c r="P39" i="38"/>
  <c r="N5" i="38"/>
  <c r="O5" i="38"/>
  <c r="R4" i="38"/>
  <c r="P4" i="38"/>
  <c r="N4" i="38"/>
  <c r="S39" i="37"/>
  <c r="G39" i="37"/>
  <c r="F39" i="37"/>
  <c r="E39" i="37"/>
  <c r="R38" i="37"/>
  <c r="P38" i="37"/>
  <c r="Q38" i="37"/>
  <c r="T38" i="37"/>
  <c r="N38" i="37"/>
  <c r="O38" i="37"/>
  <c r="R37" i="37"/>
  <c r="P37" i="37"/>
  <c r="N37" i="37"/>
  <c r="O37" i="37"/>
  <c r="Q37" i="37"/>
  <c r="T37" i="37"/>
  <c r="R36" i="37"/>
  <c r="P36" i="37"/>
  <c r="N36" i="37"/>
  <c r="O36" i="37"/>
  <c r="Q36" i="37"/>
  <c r="T36" i="37"/>
  <c r="R35" i="37"/>
  <c r="P35" i="37"/>
  <c r="N35" i="37"/>
  <c r="O35" i="37"/>
  <c r="Q35" i="37"/>
  <c r="T35" i="37"/>
  <c r="R34" i="37"/>
  <c r="P34" i="37"/>
  <c r="Q34" i="37"/>
  <c r="T34" i="37"/>
  <c r="N34" i="37"/>
  <c r="O34" i="37"/>
  <c r="R33" i="37"/>
  <c r="P33" i="37"/>
  <c r="N33" i="37"/>
  <c r="O33" i="37"/>
  <c r="Q33" i="37"/>
  <c r="T33" i="37"/>
  <c r="R32" i="37"/>
  <c r="P32" i="37"/>
  <c r="N32" i="37"/>
  <c r="O32" i="37"/>
  <c r="Q32" i="37"/>
  <c r="T32" i="37"/>
  <c r="R31" i="37"/>
  <c r="P31" i="37"/>
  <c r="N31" i="37"/>
  <c r="O31" i="37"/>
  <c r="Q31" i="37"/>
  <c r="T31" i="37"/>
  <c r="R30" i="37"/>
  <c r="P30" i="37"/>
  <c r="Q30" i="37"/>
  <c r="T30" i="37"/>
  <c r="N30" i="37"/>
  <c r="O30" i="37"/>
  <c r="R29" i="37"/>
  <c r="P29" i="37"/>
  <c r="N29" i="37"/>
  <c r="O29" i="37"/>
  <c r="Q29" i="37"/>
  <c r="T29" i="37"/>
  <c r="R28" i="37"/>
  <c r="P28" i="37"/>
  <c r="Q28" i="37"/>
  <c r="T28" i="37"/>
  <c r="N28" i="37"/>
  <c r="O28" i="37"/>
  <c r="R27" i="37"/>
  <c r="P27" i="37"/>
  <c r="N27" i="37"/>
  <c r="O27" i="37"/>
  <c r="Q27" i="37"/>
  <c r="T27" i="37"/>
  <c r="R26" i="37"/>
  <c r="P26" i="37"/>
  <c r="Q26" i="37"/>
  <c r="T26" i="37"/>
  <c r="N26" i="37"/>
  <c r="O26" i="37"/>
  <c r="R25" i="37"/>
  <c r="P25" i="37"/>
  <c r="N25" i="37"/>
  <c r="O25" i="37"/>
  <c r="Q25" i="37"/>
  <c r="T25" i="37"/>
  <c r="R24" i="37"/>
  <c r="P24" i="37"/>
  <c r="N24" i="37"/>
  <c r="O24" i="37"/>
  <c r="Q24" i="37"/>
  <c r="T24" i="37"/>
  <c r="R23" i="37"/>
  <c r="P23" i="37"/>
  <c r="N23" i="37"/>
  <c r="O23" i="37"/>
  <c r="R22" i="37"/>
  <c r="P22" i="37"/>
  <c r="Q22" i="37"/>
  <c r="T22" i="37"/>
  <c r="N22" i="37"/>
  <c r="O22" i="37"/>
  <c r="R21" i="37"/>
  <c r="P21" i="37"/>
  <c r="N21" i="37"/>
  <c r="O21" i="37"/>
  <c r="R20" i="37"/>
  <c r="P20" i="37"/>
  <c r="N20" i="37"/>
  <c r="O20" i="37"/>
  <c r="Q20" i="37"/>
  <c r="T20" i="37"/>
  <c r="R19" i="37"/>
  <c r="P19" i="37"/>
  <c r="N19" i="37"/>
  <c r="O19" i="37"/>
  <c r="Q19" i="37"/>
  <c r="T19" i="37"/>
  <c r="R18" i="37"/>
  <c r="P18" i="37"/>
  <c r="Q18" i="37"/>
  <c r="T18" i="37"/>
  <c r="N18" i="37"/>
  <c r="O18" i="37"/>
  <c r="R17" i="37"/>
  <c r="P17" i="37"/>
  <c r="N17" i="37"/>
  <c r="O17" i="37"/>
  <c r="Q17" i="37"/>
  <c r="T17" i="37"/>
  <c r="R16" i="37"/>
  <c r="P16" i="37"/>
  <c r="Q16" i="37"/>
  <c r="T16" i="37"/>
  <c r="N16" i="37"/>
  <c r="O16" i="37"/>
  <c r="R15" i="37"/>
  <c r="P15" i="37"/>
  <c r="N15" i="37"/>
  <c r="O15" i="37"/>
  <c r="Q15" i="37"/>
  <c r="T15" i="37"/>
  <c r="R14" i="37"/>
  <c r="P14" i="37"/>
  <c r="Q14" i="37"/>
  <c r="T14" i="37"/>
  <c r="N14" i="37"/>
  <c r="O14" i="37"/>
  <c r="R13" i="37"/>
  <c r="P13" i="37"/>
  <c r="N13" i="37"/>
  <c r="O13" i="37"/>
  <c r="Q13" i="37"/>
  <c r="T13" i="37"/>
  <c r="R12" i="37"/>
  <c r="P12" i="37"/>
  <c r="N12" i="37"/>
  <c r="O12" i="37"/>
  <c r="Q12" i="37"/>
  <c r="T12" i="37"/>
  <c r="R11" i="37"/>
  <c r="P11" i="37"/>
  <c r="N11" i="37"/>
  <c r="O11" i="37"/>
  <c r="Q11" i="37"/>
  <c r="T11" i="37"/>
  <c r="R10" i="37"/>
  <c r="P10" i="37"/>
  <c r="Q10" i="37"/>
  <c r="T10" i="37"/>
  <c r="N10" i="37"/>
  <c r="O10" i="37"/>
  <c r="R9" i="37"/>
  <c r="P9" i="37"/>
  <c r="N9" i="37"/>
  <c r="O9" i="37"/>
  <c r="R8" i="37"/>
  <c r="P8" i="37"/>
  <c r="N8" i="37"/>
  <c r="O8" i="37"/>
  <c r="Q8" i="37"/>
  <c r="T8" i="37"/>
  <c r="R7" i="37"/>
  <c r="P7" i="37"/>
  <c r="N7" i="37"/>
  <c r="O7" i="37"/>
  <c r="Q7" i="37"/>
  <c r="T7" i="37"/>
  <c r="R6" i="37"/>
  <c r="P6" i="37"/>
  <c r="Q6" i="37"/>
  <c r="T6" i="37"/>
  <c r="N6" i="37"/>
  <c r="O6" i="37"/>
  <c r="R5" i="37"/>
  <c r="P5" i="37"/>
  <c r="N5" i="37"/>
  <c r="O5" i="37"/>
  <c r="Q5" i="37"/>
  <c r="T5" i="37"/>
  <c r="R4" i="37"/>
  <c r="P4" i="37"/>
  <c r="P39" i="37"/>
  <c r="N4" i="37"/>
  <c r="N39" i="37"/>
  <c r="Q39" i="3"/>
  <c r="F39" i="3"/>
  <c r="E39" i="3"/>
  <c r="D39" i="3"/>
  <c r="P38" i="3"/>
  <c r="N38" i="3"/>
  <c r="O38" i="3"/>
  <c r="R38" i="3"/>
  <c r="L38" i="3"/>
  <c r="M38" i="3"/>
  <c r="P37" i="3"/>
  <c r="N37" i="3"/>
  <c r="O37" i="3"/>
  <c r="R37" i="3"/>
  <c r="L37" i="3"/>
  <c r="M37" i="3"/>
  <c r="P36" i="3"/>
  <c r="N36" i="3"/>
  <c r="L36" i="3"/>
  <c r="M36" i="3"/>
  <c r="P35" i="3"/>
  <c r="N35" i="3"/>
  <c r="L35" i="3"/>
  <c r="M35" i="3"/>
  <c r="O35" i="3"/>
  <c r="R35" i="3"/>
  <c r="P34" i="3"/>
  <c r="N34" i="3"/>
  <c r="O34" i="3"/>
  <c r="R34" i="3"/>
  <c r="L34" i="3"/>
  <c r="M34" i="3"/>
  <c r="P33" i="3"/>
  <c r="N33" i="3"/>
  <c r="L33" i="3"/>
  <c r="M33" i="3"/>
  <c r="O33" i="3"/>
  <c r="R33" i="3"/>
  <c r="P32" i="3"/>
  <c r="N32" i="3"/>
  <c r="L32" i="3"/>
  <c r="M32" i="3"/>
  <c r="O32" i="3"/>
  <c r="R32" i="3"/>
  <c r="P31" i="3"/>
  <c r="N31" i="3"/>
  <c r="L31" i="3"/>
  <c r="M31" i="3"/>
  <c r="P30" i="3"/>
  <c r="N30" i="3"/>
  <c r="L30" i="3"/>
  <c r="M30" i="3"/>
  <c r="O30" i="3"/>
  <c r="R30" i="3"/>
  <c r="P29" i="3"/>
  <c r="N29" i="3"/>
  <c r="L29" i="3"/>
  <c r="M29" i="3"/>
  <c r="O29" i="3"/>
  <c r="R29" i="3"/>
  <c r="P28" i="3"/>
  <c r="N28" i="3"/>
  <c r="O28" i="3"/>
  <c r="R28" i="3"/>
  <c r="L28" i="3"/>
  <c r="M28" i="3"/>
  <c r="P27" i="3"/>
  <c r="N27" i="3"/>
  <c r="L27" i="3"/>
  <c r="M27" i="3"/>
  <c r="O27" i="3"/>
  <c r="R27" i="3"/>
  <c r="P26" i="3"/>
  <c r="N26" i="3"/>
  <c r="L26" i="3"/>
  <c r="M26" i="3"/>
  <c r="O26" i="3"/>
  <c r="R26" i="3"/>
  <c r="P25" i="3"/>
  <c r="N25" i="3"/>
  <c r="O25" i="3"/>
  <c r="R25" i="3"/>
  <c r="L25" i="3"/>
  <c r="M25" i="3"/>
  <c r="P24" i="3"/>
  <c r="N24" i="3"/>
  <c r="L24" i="3"/>
  <c r="M24" i="3"/>
  <c r="O24" i="3"/>
  <c r="R24" i="3"/>
  <c r="P23" i="3"/>
  <c r="N23" i="3"/>
  <c r="L23" i="3"/>
  <c r="M23" i="3"/>
  <c r="O23" i="3"/>
  <c r="R23" i="3"/>
  <c r="P22" i="3"/>
  <c r="N22" i="3"/>
  <c r="O22" i="3"/>
  <c r="L22" i="3"/>
  <c r="M22" i="3"/>
  <c r="P21" i="3"/>
  <c r="N21" i="3"/>
  <c r="L21" i="3"/>
  <c r="M21" i="3"/>
  <c r="O21" i="3"/>
  <c r="R21" i="3"/>
  <c r="P20" i="3"/>
  <c r="N20" i="3"/>
  <c r="L20" i="3"/>
  <c r="M20" i="3"/>
  <c r="P19" i="3"/>
  <c r="N19" i="3"/>
  <c r="L19" i="3"/>
  <c r="M19" i="3"/>
  <c r="O19" i="3"/>
  <c r="R19" i="3"/>
  <c r="P18" i="3"/>
  <c r="N18" i="3"/>
  <c r="L18" i="3"/>
  <c r="M18" i="3"/>
  <c r="P17" i="3"/>
  <c r="N17" i="3"/>
  <c r="L17" i="3"/>
  <c r="M17" i="3"/>
  <c r="O17" i="3"/>
  <c r="R17" i="3"/>
  <c r="P16" i="3"/>
  <c r="N16" i="3"/>
  <c r="O16" i="3"/>
  <c r="R16" i="3"/>
  <c r="L16" i="3"/>
  <c r="M16" i="3"/>
  <c r="P15" i="3"/>
  <c r="N15" i="3"/>
  <c r="L15" i="3"/>
  <c r="M15" i="3"/>
  <c r="O15" i="3"/>
  <c r="R15" i="3"/>
  <c r="P14" i="3"/>
  <c r="N14" i="3"/>
  <c r="L14" i="3"/>
  <c r="M14" i="3"/>
  <c r="P13" i="3"/>
  <c r="N13" i="3"/>
  <c r="O13" i="3"/>
  <c r="R13" i="3"/>
  <c r="L13" i="3"/>
  <c r="M13" i="3"/>
  <c r="P12" i="3"/>
  <c r="N12" i="3"/>
  <c r="L12" i="3"/>
  <c r="M12" i="3"/>
  <c r="P11" i="3"/>
  <c r="N11" i="3"/>
  <c r="L11" i="3"/>
  <c r="M11" i="3"/>
  <c r="O11" i="3"/>
  <c r="R11" i="3"/>
  <c r="P10" i="3"/>
  <c r="N10" i="3"/>
  <c r="L10" i="3"/>
  <c r="M10" i="3"/>
  <c r="P9" i="3"/>
  <c r="N9" i="3"/>
  <c r="L9" i="3"/>
  <c r="M9" i="3"/>
  <c r="O9" i="3"/>
  <c r="R9" i="3"/>
  <c r="P8" i="3"/>
  <c r="N8" i="3"/>
  <c r="L8" i="3"/>
  <c r="M8" i="3"/>
  <c r="P7" i="3"/>
  <c r="N7" i="3"/>
  <c r="L7" i="3"/>
  <c r="M7" i="3"/>
  <c r="O7" i="3"/>
  <c r="R7" i="3"/>
  <c r="P6" i="3"/>
  <c r="N6" i="3"/>
  <c r="L6" i="3"/>
  <c r="M6" i="3"/>
  <c r="O6" i="3"/>
  <c r="R6" i="3"/>
  <c r="P5" i="3"/>
  <c r="N5" i="3"/>
  <c r="L5" i="3"/>
  <c r="M5" i="3"/>
  <c r="O5" i="3"/>
  <c r="R5" i="3"/>
  <c r="P4" i="3"/>
  <c r="N4" i="3"/>
  <c r="L4" i="3"/>
  <c r="O10" i="3"/>
  <c r="R10" i="3"/>
  <c r="O12" i="3"/>
  <c r="R12" i="3"/>
  <c r="R22" i="3"/>
  <c r="O36" i="3"/>
  <c r="R36" i="3"/>
  <c r="M4" i="3"/>
  <c r="O4" i="38"/>
  <c r="Q8" i="39"/>
  <c r="T8" i="39"/>
  <c r="Q9" i="39"/>
  <c r="T9" i="39"/>
  <c r="Q11" i="39"/>
  <c r="T11" i="39"/>
  <c r="Q19" i="39"/>
  <c r="T19" i="39"/>
  <c r="Q4" i="39"/>
  <c r="Q15" i="39"/>
  <c r="T15" i="39"/>
  <c r="Q23" i="39"/>
  <c r="T23" i="39"/>
  <c r="Q25" i="39"/>
  <c r="T25" i="39"/>
  <c r="Q16" i="39"/>
  <c r="T16" i="39"/>
  <c r="Q26" i="39"/>
  <c r="T26" i="39"/>
  <c r="Q30" i="39"/>
  <c r="T30" i="39"/>
  <c r="T4" i="39"/>
  <c r="T6" i="40"/>
  <c r="Q4" i="40"/>
  <c r="T4" i="40"/>
  <c r="Q13" i="40"/>
  <c r="T13" i="40"/>
  <c r="Q17" i="40"/>
  <c r="T17" i="40"/>
  <c r="Q19" i="40"/>
  <c r="T19" i="40"/>
  <c r="Q23" i="40"/>
  <c r="T23" i="40"/>
  <c r="Q27" i="40"/>
  <c r="T27" i="40"/>
  <c r="Q31" i="40"/>
  <c r="T31" i="40"/>
  <c r="T33" i="40"/>
  <c r="Q35" i="40"/>
  <c r="T35" i="40"/>
  <c r="Q37" i="40"/>
  <c r="T37" i="40"/>
  <c r="Q20" i="40"/>
  <c r="T20" i="40"/>
  <c r="Q24" i="40"/>
  <c r="T24" i="40"/>
  <c r="Q26" i="40"/>
  <c r="T26" i="40"/>
  <c r="O4" i="41"/>
  <c r="Q4" i="41"/>
  <c r="Q13" i="42"/>
  <c r="T13" i="42"/>
  <c r="Q15" i="42"/>
  <c r="T15" i="42"/>
  <c r="Q17" i="42"/>
  <c r="T17" i="42"/>
  <c r="Q21" i="42"/>
  <c r="T21" i="42"/>
  <c r="Q23" i="42"/>
  <c r="T23" i="42"/>
  <c r="Q27" i="42"/>
  <c r="T27" i="42"/>
  <c r="Q31" i="42"/>
  <c r="T31" i="42"/>
  <c r="Q33" i="42"/>
  <c r="T33" i="42"/>
  <c r="T35" i="42"/>
  <c r="Q12" i="42"/>
  <c r="T12" i="42"/>
  <c r="Q18" i="42"/>
  <c r="T18" i="42"/>
  <c r="T20" i="42"/>
  <c r="Q22" i="42"/>
  <c r="T22" i="42"/>
  <c r="Q24" i="42"/>
  <c r="T24" i="42"/>
  <c r="Q34" i="42"/>
  <c r="T34" i="42"/>
  <c r="Q38" i="42"/>
  <c r="T38" i="42"/>
  <c r="O4" i="43"/>
  <c r="Q4" i="43"/>
  <c r="Q4" i="44"/>
  <c r="Q15" i="44"/>
  <c r="T15" i="44"/>
  <c r="Q17" i="44"/>
  <c r="T17" i="44"/>
  <c r="Q19" i="44"/>
  <c r="T19" i="44"/>
  <c r="Q21" i="44"/>
  <c r="T21" i="44"/>
  <c r="Q27" i="44"/>
  <c r="T27" i="44"/>
  <c r="Q29" i="44"/>
  <c r="T29" i="44"/>
  <c r="Q33" i="44"/>
  <c r="T33" i="44"/>
  <c r="Q12" i="44"/>
  <c r="T12" i="44"/>
  <c r="Q16" i="44"/>
  <c r="T16" i="44"/>
  <c r="Q18" i="44"/>
  <c r="T18" i="44"/>
  <c r="Q22" i="44"/>
  <c r="T22" i="44"/>
  <c r="Q24" i="44"/>
  <c r="T24" i="44"/>
  <c r="Q28" i="44"/>
  <c r="T28" i="44"/>
  <c r="Q30" i="44"/>
  <c r="T30" i="44"/>
  <c r="Q36" i="44"/>
  <c r="T36" i="44"/>
  <c r="T4" i="44"/>
  <c r="Q15" i="40"/>
  <c r="T15" i="40"/>
  <c r="O39" i="40"/>
  <c r="P39" i="40"/>
  <c r="T4" i="42"/>
  <c r="T39" i="42"/>
  <c r="Q39" i="42"/>
  <c r="T5" i="40"/>
  <c r="T39" i="40"/>
  <c r="P39" i="43"/>
  <c r="N39" i="40"/>
  <c r="P39" i="42"/>
  <c r="O20" i="3"/>
  <c r="R20" i="3"/>
  <c r="Q23" i="37"/>
  <c r="T23" i="37"/>
  <c r="Q28" i="39"/>
  <c r="T28" i="39"/>
  <c r="Q12" i="43"/>
  <c r="T12" i="43"/>
  <c r="O19" i="43"/>
  <c r="N39" i="43"/>
  <c r="P39" i="39"/>
  <c r="P39" i="41"/>
  <c r="N39" i="42"/>
  <c r="O8" i="3"/>
  <c r="R8" i="3"/>
  <c r="O39" i="41"/>
  <c r="T4" i="41"/>
  <c r="L39" i="3"/>
  <c r="Q9" i="37"/>
  <c r="T9" i="37"/>
  <c r="Q18" i="40"/>
  <c r="T18" i="40"/>
  <c r="O31" i="3"/>
  <c r="R31" i="3"/>
  <c r="Q21" i="37"/>
  <c r="T21" i="37"/>
  <c r="N39" i="41"/>
  <c r="O4" i="3"/>
  <c r="M39" i="3"/>
  <c r="N39" i="44"/>
  <c r="O14" i="3"/>
  <c r="R14" i="3"/>
  <c r="T4" i="43"/>
  <c r="Q4" i="38"/>
  <c r="O39" i="38"/>
  <c r="N39" i="3"/>
  <c r="Q7" i="40"/>
  <c r="T7" i="40"/>
  <c r="Q5" i="44"/>
  <c r="Q26" i="38"/>
  <c r="T26" i="38"/>
  <c r="O18" i="3"/>
  <c r="R18" i="3"/>
  <c r="Q30" i="43"/>
  <c r="T30" i="43"/>
  <c r="Q36" i="43"/>
  <c r="T36" i="43"/>
  <c r="N39" i="38"/>
  <c r="Q24" i="38"/>
  <c r="T24" i="38"/>
  <c r="Q5" i="43"/>
  <c r="T5" i="43"/>
  <c r="Q30" i="38"/>
  <c r="T30" i="38"/>
  <c r="Q35" i="38"/>
  <c r="T35" i="38"/>
  <c r="O5" i="39"/>
  <c r="Q5" i="39"/>
  <c r="N39" i="39"/>
  <c r="Q36" i="39"/>
  <c r="T36" i="39"/>
  <c r="Q6" i="41"/>
  <c r="T6" i="41"/>
  <c r="Q5" i="38"/>
  <c r="T5" i="38"/>
  <c r="O39" i="42"/>
  <c r="O39" i="44"/>
  <c r="O4" i="37"/>
  <c r="R4" i="3"/>
  <c r="R39" i="3"/>
  <c r="O39" i="3"/>
  <c r="Q39" i="40"/>
  <c r="T5" i="44"/>
  <c r="T39" i="44"/>
  <c r="Q39" i="44"/>
  <c r="O39" i="39"/>
  <c r="Q19" i="43"/>
  <c r="T19" i="43"/>
  <c r="O39" i="43"/>
  <c r="Q39" i="43"/>
  <c r="Q4" i="37"/>
  <c r="O39" i="37"/>
  <c r="Q39" i="38"/>
  <c r="T4" i="38"/>
  <c r="T39" i="38"/>
  <c r="T39" i="41"/>
  <c r="Q39" i="39"/>
  <c r="T5" i="39"/>
  <c r="T39" i="39"/>
  <c r="T39" i="43"/>
  <c r="Q39" i="41"/>
  <c r="Q39" i="37"/>
  <c r="T4" i="37"/>
  <c r="T39" i="37"/>
  <c r="N39" i="45"/>
  <c r="Q8" i="45"/>
  <c r="T8" i="45"/>
  <c r="Q32" i="45"/>
  <c r="T32" i="45"/>
  <c r="P39" i="45"/>
  <c r="Q4" i="45"/>
  <c r="Q16" i="45"/>
  <c r="T16" i="45"/>
  <c r="O5" i="45"/>
  <c r="Q5" i="45"/>
  <c r="T5" i="45"/>
  <c r="O39" i="45"/>
  <c r="T4" i="45"/>
  <c r="T39" i="45"/>
  <c r="Q39" i="45"/>
  <c r="N39" i="47"/>
  <c r="Q4" i="47"/>
  <c r="Q28" i="47"/>
  <c r="T28" i="47"/>
  <c r="Q16" i="47"/>
  <c r="T16" i="47"/>
  <c r="Q6" i="46"/>
  <c r="T6" i="46"/>
  <c r="Q4" i="46"/>
  <c r="Q16" i="46"/>
  <c r="T16" i="46"/>
  <c r="T4" i="47"/>
  <c r="T4" i="46"/>
  <c r="Q6" i="47"/>
  <c r="T6" i="47"/>
  <c r="P39" i="47"/>
  <c r="Q5" i="47"/>
  <c r="O39" i="47"/>
  <c r="N39" i="46"/>
  <c r="Q39" i="47"/>
  <c r="T5" i="47"/>
  <c r="T39" i="47"/>
  <c r="T5" i="46"/>
  <c r="T39" i="46"/>
  <c r="Q39" i="46"/>
  <c r="O39" i="46"/>
  <c r="Q4" i="49"/>
  <c r="Q28" i="49"/>
  <c r="T28" i="49"/>
  <c r="Q20" i="49"/>
  <c r="T20" i="49"/>
  <c r="Q16" i="49"/>
  <c r="T16" i="49"/>
  <c r="N39" i="48"/>
  <c r="P39" i="48"/>
  <c r="Q20" i="48"/>
  <c r="T20" i="48"/>
  <c r="Q4" i="48"/>
  <c r="Q16" i="48"/>
  <c r="T16" i="48"/>
  <c r="O5" i="48"/>
  <c r="Q5" i="48"/>
  <c r="T5" i="48"/>
  <c r="T4" i="49"/>
  <c r="Q39" i="48"/>
  <c r="T4" i="48"/>
  <c r="T39" i="48"/>
  <c r="O39" i="48"/>
  <c r="O5" i="49"/>
  <c r="Q5" i="49"/>
  <c r="O39" i="49"/>
  <c r="Q39" i="49"/>
  <c r="T5" i="49"/>
  <c r="T39" i="49"/>
</calcChain>
</file>

<file path=xl/sharedStrings.xml><?xml version="1.0" encoding="utf-8"?>
<sst xmlns="http://schemas.openxmlformats.org/spreadsheetml/2006/main" count="279" uniqueCount="34">
  <si>
    <t>V.TOTAL</t>
  </si>
  <si>
    <t>MVA</t>
  </si>
  <si>
    <t>A.DST</t>
  </si>
  <si>
    <t>A.ORI</t>
  </si>
  <si>
    <t>VALOR</t>
  </si>
  <si>
    <t>DÉBITO</t>
  </si>
  <si>
    <t>CRÉDITO</t>
  </si>
  <si>
    <t>N.  FISCAL</t>
  </si>
  <si>
    <t>VR.DEVIDO</t>
  </si>
  <si>
    <t xml:space="preserve">    Antecipação Tributária - Anexo 88</t>
  </si>
  <si>
    <t>IPI</t>
  </si>
  <si>
    <t>VR. PG.</t>
  </si>
  <si>
    <t>DIFER.</t>
  </si>
  <si>
    <t>B.CÁLCULO</t>
  </si>
  <si>
    <t>Redução</t>
  </si>
  <si>
    <t>RED.</t>
  </si>
  <si>
    <t>N</t>
  </si>
  <si>
    <t>Empresa -   ARMAZEM DO RECONCAVO      -  IE:  59.674.531      COMP. 01/2014</t>
  </si>
  <si>
    <t>Q</t>
  </si>
  <si>
    <t>DATA DE EMISSÃO</t>
  </si>
  <si>
    <t xml:space="preserve">CÁLCULO ANTECIPAÇÃO TRIBUTÁRIA - ANEXO 88 </t>
  </si>
  <si>
    <t>DATA DE ENTRADA</t>
  </si>
  <si>
    <t>Código: RP-151                          Revisão: 00</t>
  </si>
  <si>
    <t xml:space="preserve">                  Empresa -MERCADÃO CARMO                                       IE: 83592715                             COMP.  02/2019     </t>
  </si>
  <si>
    <t xml:space="preserve">                  Empresa -MERCADÃO CARMO                                       IE: 83592715                             COMP.  05/2019     </t>
  </si>
  <si>
    <t xml:space="preserve">                  Empresa -MERCADÃO CARMO                                       IE: 83592715                             COMP.  08/2019     </t>
  </si>
  <si>
    <t xml:space="preserve">                  Empresa -MERCADÃO CARMO                                       IE: 83592715                             COMP.  09/2019     </t>
  </si>
  <si>
    <t xml:space="preserve">                  Empresa -MERCADÃO CARMO                                       IE: 83592715                             COMP.  10/2019     </t>
  </si>
  <si>
    <t xml:space="preserve">                  Empresa -MERCADÃO CARMO                                       IE: 83592715                             COMP.  10/2020 </t>
  </si>
  <si>
    <t xml:space="preserve">                  Empresa -MERCADÃO CARMO                                       IE: 83592715                             COMP.  01/2021</t>
  </si>
  <si>
    <t xml:space="preserve">                  Empresa -MERCADÃO CARMO                                       IE: 83592715                             COMP.  02/2022</t>
  </si>
  <si>
    <t xml:space="preserve">                  Empresa -MERCADÃO CARMO                                       IE: 83592715                             COMP.  08/2025</t>
  </si>
  <si>
    <t xml:space="preserve">                  Empresa -MERCADÃO CARMO                                       IE: 83592715                             COMP.  12/2025</t>
  </si>
  <si>
    <t xml:space="preserve">                  Empresa -MERCADÃO CARMO                                       IE: 83592715                             COMP.  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</si>
</sst>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&quot;R$ &quot;* #,##0.00_);_(&quot;R$ &quot;* \(#,##0.00\);_(&quot;R$ &quot;* &quot;-&quot;??_);_(@_)"/>
  </numFmts>
  <fonts count="9" x14ac:knownFonts="1">
    <font>
      <sz val="10"/>
      <name val="Arial"/>
    </font>
    <font>
      <sz val="10"/>
      <name val="Arial"/>
    </font>
    <font>
      <b/>
      <sz val="12"/>
      <name val="Arial"/>
      <family val="2"/>
    </font>
    <font>
      <sz val="2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sz val="9"/>
      <name val="Arial Black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76" fontId="1" fillId="0" borderId="0" applyFont="0" applyFill="0" applyBorder="0" applyAlignment="0" applyProtection="0"/>
  </cellStyleXfs>
  <cellXfs count="53">
    <xf numFmtId="0" fontId="0" fillId="0" borderId="0" xfId="0"/>
    <xf numFmtId="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5" fillId="0" borderId="4" xfId="0" applyNumberFormat="1" applyFont="1" applyBorder="1" applyAlignment="1" applyProtection="1">
      <alignment horizontal="center"/>
      <protection locked="0"/>
    </xf>
    <xf numFmtId="4" fontId="5" fillId="0" borderId="4" xfId="0" applyNumberFormat="1" applyFont="1" applyBorder="1" applyAlignment="1" applyProtection="1">
      <alignment horizontal="center"/>
      <protection locked="0"/>
    </xf>
    <xf numFmtId="0" fontId="0" fillId="0" borderId="4" xfId="0" applyNumberFormat="1" applyBorder="1" applyAlignment="1" applyProtection="1">
      <alignment horizontal="center"/>
      <protection locked="0"/>
    </xf>
    <xf numFmtId="4" fontId="0" fillId="0" borderId="4" xfId="0" applyNumberFormat="1" applyBorder="1" applyAlignment="1" applyProtection="1">
      <alignment horizontal="center"/>
      <protection locked="0"/>
    </xf>
    <xf numFmtId="4" fontId="0" fillId="0" borderId="4" xfId="0" applyNumberForma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4" xfId="0" applyNumberFormat="1" applyBorder="1" applyAlignment="1" applyProtection="1">
      <alignment horizontal="center"/>
    </xf>
    <xf numFmtId="4" fontId="0" fillId="0" borderId="4" xfId="0" applyNumberFormat="1" applyBorder="1" applyAlignment="1" applyProtection="1">
      <protection locked="0"/>
    </xf>
    <xf numFmtId="40" fontId="0" fillId="0" borderId="0" xfId="0" applyNumberFormat="1" applyAlignment="1" applyProtection="1">
      <alignment horizontal="center"/>
      <protection locked="0"/>
    </xf>
    <xf numFmtId="0" fontId="0" fillId="0" borderId="4" xfId="0" applyNumberFormat="1" applyBorder="1" applyAlignment="1" applyProtection="1">
      <alignment horizontal="right"/>
      <protection locked="0"/>
    </xf>
    <xf numFmtId="4" fontId="0" fillId="0" borderId="4" xfId="0" applyNumberFormat="1" applyBorder="1" applyAlignment="1" applyProtection="1">
      <alignment horizontal="right"/>
      <protection locked="0"/>
    </xf>
    <xf numFmtId="4" fontId="0" fillId="0" borderId="4" xfId="0" applyNumberFormat="1" applyBorder="1" applyAlignment="1" applyProtection="1">
      <alignment horizontal="right"/>
    </xf>
    <xf numFmtId="0" fontId="0" fillId="0" borderId="4" xfId="0" applyNumberFormat="1" applyBorder="1" applyAlignment="1" applyProtection="1">
      <alignment horizontal="right"/>
    </xf>
    <xf numFmtId="0" fontId="0" fillId="0" borderId="0" xfId="0" applyAlignment="1" applyProtection="1">
      <alignment horizontal="center"/>
      <protection locked="0"/>
    </xf>
    <xf numFmtId="0" fontId="4" fillId="0" borderId="4" xfId="0" applyFont="1" applyBorder="1" applyAlignment="1" applyProtection="1">
      <protection locked="0"/>
    </xf>
    <xf numFmtId="0" fontId="0" fillId="0" borderId="4" xfId="0" applyBorder="1" applyAlignment="1" applyProtection="1">
      <protection locked="0"/>
    </xf>
    <xf numFmtId="0" fontId="0" fillId="0" borderId="4" xfId="0" applyBorder="1" applyAlignment="1" applyProtection="1"/>
    <xf numFmtId="176" fontId="0" fillId="0" borderId="4" xfId="1" applyFont="1" applyBorder="1" applyAlignment="1" applyProtection="1">
      <alignment horizontal="right"/>
      <protection locked="0"/>
    </xf>
    <xf numFmtId="0" fontId="5" fillId="2" borderId="4" xfId="0" applyFont="1" applyFill="1" applyBorder="1" applyAlignment="1" applyProtection="1">
      <alignment wrapText="1"/>
      <protection locked="0"/>
    </xf>
    <xf numFmtId="0" fontId="5" fillId="2" borderId="4" xfId="0" applyNumberFormat="1" applyFont="1" applyFill="1" applyBorder="1" applyAlignment="1" applyProtection="1">
      <alignment horizontal="center"/>
      <protection locked="0"/>
    </xf>
    <xf numFmtId="4" fontId="5" fillId="2" borderId="4" xfId="0" applyNumberFormat="1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5" fillId="2" borderId="4" xfId="0" applyFont="1" applyFill="1" applyBorder="1" applyAlignment="1" applyProtection="1">
      <alignment horizontal="center"/>
      <protection locked="0"/>
    </xf>
    <xf numFmtId="14" fontId="0" fillId="0" borderId="4" xfId="0" applyNumberFormat="1" applyBorder="1" applyAlignment="1" applyProtection="1">
      <protection locked="0"/>
    </xf>
    <xf numFmtId="14" fontId="6" fillId="0" borderId="4" xfId="0" applyNumberFormat="1" applyFont="1" applyBorder="1" applyAlignment="1" applyProtection="1">
      <protection locked="0"/>
    </xf>
    <xf numFmtId="176" fontId="0" fillId="0" borderId="4" xfId="1" applyFont="1" applyBorder="1" applyAlignment="1" applyProtection="1">
      <alignment horizontal="right"/>
    </xf>
    <xf numFmtId="0" fontId="0" fillId="0" borderId="4" xfId="0" applyNumberFormat="1" applyBorder="1" applyAlignment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</xf>
    <xf numFmtId="0" fontId="0" fillId="0" borderId="3" xfId="0" applyBorder="1" applyAlignment="1" applyProtection="1">
      <alignment horizontal="center"/>
    </xf>
    <xf numFmtId="0" fontId="0" fillId="0" borderId="4" xfId="0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1" xfId="0" applyFont="1" applyBorder="1" applyAlignment="1" applyProtection="1">
      <alignment horizontal="left"/>
      <protection locked="0"/>
    </xf>
    <xf numFmtId="0" fontId="2" fillId="0" borderId="2" xfId="0" applyFont="1" applyBorder="1" applyAlignment="1" applyProtection="1">
      <alignment horizontal="left"/>
      <protection locked="0"/>
    </xf>
    <xf numFmtId="0" fontId="2" fillId="0" borderId="3" xfId="0" applyFont="1" applyBorder="1" applyAlignment="1" applyProtection="1">
      <alignment horizontal="left"/>
      <protection locked="0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8023" name="Imagem 2" descr="Logo Codisplan.jpg">
          <a:extLst>
            <a:ext uri="{FF2B5EF4-FFF2-40B4-BE49-F238E27FC236}">
              <a16:creationId xmlns:a16="http://schemas.microsoft.com/office/drawing/2014/main" id="{BE247AEC-734A-551A-B3D4-14F38B2F9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8024" name="Imagem 3" descr="Logo Codisplan.jpg">
          <a:extLst>
            <a:ext uri="{FF2B5EF4-FFF2-40B4-BE49-F238E27FC236}">
              <a16:creationId xmlns:a16="http://schemas.microsoft.com/office/drawing/2014/main" id="{AFB570DB-DCF1-56DE-058D-945ABD12A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14833" name="Imagem 2" descr="Logo Codisplan.jpg">
          <a:extLst>
            <a:ext uri="{FF2B5EF4-FFF2-40B4-BE49-F238E27FC236}">
              <a16:creationId xmlns:a16="http://schemas.microsoft.com/office/drawing/2014/main" id="{22B22C58-2007-6A42-54BB-5C147752E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14834" name="Imagem 3" descr="Logo Codisplan.jpg">
          <a:extLst>
            <a:ext uri="{FF2B5EF4-FFF2-40B4-BE49-F238E27FC236}">
              <a16:creationId xmlns:a16="http://schemas.microsoft.com/office/drawing/2014/main" id="{F63D48B4-E94A-1264-0D4C-FFF96E0D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15845" name="Imagem 2" descr="Logo Codisplan.jpg">
          <a:extLst>
            <a:ext uri="{FF2B5EF4-FFF2-40B4-BE49-F238E27FC236}">
              <a16:creationId xmlns:a16="http://schemas.microsoft.com/office/drawing/2014/main" id="{7C939EC8-C3F9-1DEE-912E-B6F0121C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15846" name="Imagem 3" descr="Logo Codisplan.jpg">
          <a:extLst>
            <a:ext uri="{FF2B5EF4-FFF2-40B4-BE49-F238E27FC236}">
              <a16:creationId xmlns:a16="http://schemas.microsoft.com/office/drawing/2014/main" id="{B4A0D8E7-BC8C-E387-CCA8-28967A1E6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16861" name="Imagem 2" descr="Logo Codisplan.jpg">
          <a:extLst>
            <a:ext uri="{FF2B5EF4-FFF2-40B4-BE49-F238E27FC236}">
              <a16:creationId xmlns:a16="http://schemas.microsoft.com/office/drawing/2014/main" id="{C548897C-B9A7-3663-980C-B0A0CC1E4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16862" name="Imagem 3" descr="Logo Codisplan.jpg">
          <a:extLst>
            <a:ext uri="{FF2B5EF4-FFF2-40B4-BE49-F238E27FC236}">
              <a16:creationId xmlns:a16="http://schemas.microsoft.com/office/drawing/2014/main" id="{3C67565C-B164-ECE7-BE32-34E1179F9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17883" name="Imagem 2" descr="Logo Codisplan.jpg">
          <a:extLst>
            <a:ext uri="{FF2B5EF4-FFF2-40B4-BE49-F238E27FC236}">
              <a16:creationId xmlns:a16="http://schemas.microsoft.com/office/drawing/2014/main" id="{F1F2DA26-50E1-B792-CC78-2A4D723D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17884" name="Imagem 3" descr="Logo Codisplan.jpg">
          <a:extLst>
            <a:ext uri="{FF2B5EF4-FFF2-40B4-BE49-F238E27FC236}">
              <a16:creationId xmlns:a16="http://schemas.microsoft.com/office/drawing/2014/main" id="{43DE2040-DABA-77FE-F4D5-C8AEC2287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19921" name="Imagem 2" descr="Logo Codisplan.jpg">
          <a:extLst>
            <a:ext uri="{FF2B5EF4-FFF2-40B4-BE49-F238E27FC236}">
              <a16:creationId xmlns:a16="http://schemas.microsoft.com/office/drawing/2014/main" id="{B1C8658E-CA66-2C4D-9C79-2C95C3EDB8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19922" name="Imagem 3" descr="Logo Codisplan.jpg">
          <a:extLst>
            <a:ext uri="{FF2B5EF4-FFF2-40B4-BE49-F238E27FC236}">
              <a16:creationId xmlns:a16="http://schemas.microsoft.com/office/drawing/2014/main" id="{192F6461-93CF-AE83-6541-2D5B79A90F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0941" name="Imagem 2" descr="Logo Codisplan.jpg">
          <a:extLst>
            <a:ext uri="{FF2B5EF4-FFF2-40B4-BE49-F238E27FC236}">
              <a16:creationId xmlns:a16="http://schemas.microsoft.com/office/drawing/2014/main" id="{2179ECB0-F17F-B797-6B77-E68BD3F8F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0942" name="Imagem 3" descr="Logo Codisplan.jpg">
          <a:extLst>
            <a:ext uri="{FF2B5EF4-FFF2-40B4-BE49-F238E27FC236}">
              <a16:creationId xmlns:a16="http://schemas.microsoft.com/office/drawing/2014/main" id="{9E524FC7-9C57-1AEF-2C72-C4C0D7115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1961" name="Imagem 2" descr="Logo Codisplan.jpg">
          <a:extLst>
            <a:ext uri="{FF2B5EF4-FFF2-40B4-BE49-F238E27FC236}">
              <a16:creationId xmlns:a16="http://schemas.microsoft.com/office/drawing/2014/main" id="{8462B36B-37B5-488B-7230-EA5E20B87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1962" name="Imagem 3" descr="Logo Codisplan.jpg">
          <a:extLst>
            <a:ext uri="{FF2B5EF4-FFF2-40B4-BE49-F238E27FC236}">
              <a16:creationId xmlns:a16="http://schemas.microsoft.com/office/drawing/2014/main" id="{4FE81321-EF6C-2FDA-AF46-08B590ACF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3989" name="Imagem 2" descr="Logo Codisplan.jpg">
          <a:extLst>
            <a:ext uri="{FF2B5EF4-FFF2-40B4-BE49-F238E27FC236}">
              <a16:creationId xmlns:a16="http://schemas.microsoft.com/office/drawing/2014/main" id="{279A7BDD-DCB2-4AE2-F706-7D2ABC838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3990" name="Imagem 3" descr="Logo Codisplan.jpg">
          <a:extLst>
            <a:ext uri="{FF2B5EF4-FFF2-40B4-BE49-F238E27FC236}">
              <a16:creationId xmlns:a16="http://schemas.microsoft.com/office/drawing/2014/main" id="{A595F221-E4E9-63C5-8EE4-2DFC2EFC8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4993" name="Imagem 2" descr="Logo Codisplan.jpg">
          <a:extLst>
            <a:ext uri="{FF2B5EF4-FFF2-40B4-BE49-F238E27FC236}">
              <a16:creationId xmlns:a16="http://schemas.microsoft.com/office/drawing/2014/main" id="{A9B16385-3D04-D3F5-FD77-77358884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4994" name="Imagem 3" descr="Logo Codisplan.jpg">
          <a:extLst>
            <a:ext uri="{FF2B5EF4-FFF2-40B4-BE49-F238E27FC236}">
              <a16:creationId xmlns:a16="http://schemas.microsoft.com/office/drawing/2014/main" id="{0135F709-9EFD-56B9-B073-BFB379894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6015" name="Imagem 2" descr="Logo Codisplan.jpg">
          <a:extLst>
            <a:ext uri="{FF2B5EF4-FFF2-40B4-BE49-F238E27FC236}">
              <a16:creationId xmlns:a16="http://schemas.microsoft.com/office/drawing/2014/main" id="{605BDFB4-06FF-7EC5-F3F6-5776A42FC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6016" name="Imagem 3" descr="Logo Codisplan.jpg">
          <a:extLst>
            <a:ext uri="{FF2B5EF4-FFF2-40B4-BE49-F238E27FC236}">
              <a16:creationId xmlns:a16="http://schemas.microsoft.com/office/drawing/2014/main" id="{7F7B6DA0-2630-54E2-646F-8B8469294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7001" name="Imagem 2" descr="Logo Codisplan.jpg">
          <a:extLst>
            <a:ext uri="{FF2B5EF4-FFF2-40B4-BE49-F238E27FC236}">
              <a16:creationId xmlns:a16="http://schemas.microsoft.com/office/drawing/2014/main" id="{987D0618-E24A-DAC3-0FC5-3A10EED25E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7002" name="Imagem 3" descr="Logo Codisplan.jpg">
          <a:extLst>
            <a:ext uri="{FF2B5EF4-FFF2-40B4-BE49-F238E27FC236}">
              <a16:creationId xmlns:a16="http://schemas.microsoft.com/office/drawing/2014/main" id="{B8F9C8BD-3A6F-8EC9-EA4F-8E4F14A55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66675</xdr:rowOff>
    </xdr:from>
    <xdr:to>
      <xdr:col>1</xdr:col>
      <xdr:colOff>0</xdr:colOff>
      <xdr:row>0</xdr:row>
      <xdr:rowOff>504825</xdr:rowOff>
    </xdr:to>
    <xdr:pic>
      <xdr:nvPicPr>
        <xdr:cNvPr id="129047" name="Imagem 2" descr="Logo Codisplan.jpg">
          <a:extLst>
            <a:ext uri="{FF2B5EF4-FFF2-40B4-BE49-F238E27FC236}">
              <a16:creationId xmlns:a16="http://schemas.microsoft.com/office/drawing/2014/main" id="{9A62BF01-123A-D45D-29E4-0A3817E16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66675"/>
          <a:ext cx="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0</xdr:row>
      <xdr:rowOff>85725</xdr:rowOff>
    </xdr:from>
    <xdr:to>
      <xdr:col>3</xdr:col>
      <xdr:colOff>581025</xdr:colOff>
      <xdr:row>0</xdr:row>
      <xdr:rowOff>857250</xdr:rowOff>
    </xdr:to>
    <xdr:pic>
      <xdr:nvPicPr>
        <xdr:cNvPr id="129048" name="Imagem 3" descr="Logo Codisplan.jpg">
          <a:extLst>
            <a:ext uri="{FF2B5EF4-FFF2-40B4-BE49-F238E27FC236}">
              <a16:creationId xmlns:a16="http://schemas.microsoft.com/office/drawing/2014/main" id="{7DE63360-98EC-DB9B-60BD-86B1A877B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8275" y="85725"/>
          <a:ext cx="88582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2CF8-8526-4970-ABD6-C76FD427FB26}">
  <sheetPr codeName="Plan1"/>
  <dimension ref="A1:R39"/>
  <sheetViews>
    <sheetView zoomScale="80" zoomScaleNormal="80" workbookViewId="0">
      <selection activeCell="E32" sqref="E32"/>
    </sheetView>
  </sheetViews>
  <sheetFormatPr defaultRowHeight="12.75" x14ac:dyDescent="0.2"/>
  <cols>
    <col min="1" max="1" width="3" style="2" customWidth="1"/>
    <col min="2" max="2" width="0.42578125" style="2" customWidth="1"/>
    <col min="3" max="3" width="9" style="3" customWidth="1"/>
    <col min="4" max="4" width="9.85546875" style="3" customWidth="1"/>
    <col min="5" max="5" width="10.140625" style="1" customWidth="1"/>
    <col min="6" max="6" width="7.5703125" style="1" customWidth="1"/>
    <col min="7" max="7" width="5.85546875" style="1" customWidth="1"/>
    <col min="8" max="8" width="8.140625" style="1" hidden="1" customWidth="1"/>
    <col min="9" max="9" width="6.5703125" style="1" customWidth="1"/>
    <col min="10" max="10" width="6.28515625" style="1" customWidth="1"/>
    <col min="11" max="11" width="5" style="1" customWidth="1"/>
    <col min="12" max="12" width="10.140625" style="1" customWidth="1"/>
    <col min="13" max="13" width="9.5703125" style="1" customWidth="1"/>
    <col min="14" max="14" width="10.28515625" style="1" customWidth="1"/>
    <col min="15" max="15" width="10" style="1" customWidth="1"/>
    <col min="16" max="16" width="11.42578125" style="2" hidden="1" customWidth="1"/>
    <col min="17" max="17" width="9.140625" style="2" customWidth="1"/>
    <col min="18" max="18" width="10.140625" style="2" customWidth="1"/>
    <col min="19" max="16384" width="9.140625" style="2"/>
  </cols>
  <sheetData>
    <row r="1" spans="1:18" ht="39.75" customHeight="1" x14ac:dyDescent="0.2">
      <c r="A1" s="4" t="s">
        <v>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  <c r="P1" s="6"/>
      <c r="Q1" s="6"/>
      <c r="R1" s="7"/>
    </row>
    <row r="2" spans="1:18" ht="15.75" x14ac:dyDescent="0.25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8"/>
      <c r="Q2" s="8"/>
      <c r="R2" s="8"/>
    </row>
    <row r="3" spans="1:18" x14ac:dyDescent="0.2">
      <c r="A3" s="39" t="s">
        <v>18</v>
      </c>
      <c r="B3" s="40"/>
      <c r="C3" s="11" t="s">
        <v>7</v>
      </c>
      <c r="D3" s="12" t="s">
        <v>0</v>
      </c>
      <c r="E3" s="12" t="s">
        <v>13</v>
      </c>
      <c r="F3" s="12" t="s">
        <v>10</v>
      </c>
      <c r="G3" s="12" t="s">
        <v>1</v>
      </c>
      <c r="H3" s="12" t="s">
        <v>14</v>
      </c>
      <c r="I3" s="12" t="s">
        <v>2</v>
      </c>
      <c r="J3" s="12" t="s">
        <v>3</v>
      </c>
      <c r="K3" s="12" t="s">
        <v>15</v>
      </c>
      <c r="L3" s="12" t="s">
        <v>4</v>
      </c>
      <c r="M3" s="12" t="s">
        <v>5</v>
      </c>
      <c r="N3" s="12" t="s">
        <v>6</v>
      </c>
      <c r="O3" s="12" t="s">
        <v>8</v>
      </c>
      <c r="P3" s="9"/>
      <c r="Q3" s="10" t="s">
        <v>11</v>
      </c>
      <c r="R3" s="10" t="s">
        <v>12</v>
      </c>
    </row>
    <row r="4" spans="1:18" x14ac:dyDescent="0.2">
      <c r="A4" s="41">
        <v>1</v>
      </c>
      <c r="B4" s="42"/>
      <c r="C4" s="13">
        <v>402507</v>
      </c>
      <c r="D4" s="18">
        <v>15777.27</v>
      </c>
      <c r="E4" s="18">
        <v>15777.27</v>
      </c>
      <c r="F4" s="18"/>
      <c r="G4" s="14">
        <v>39</v>
      </c>
      <c r="H4" s="14">
        <v>29.41</v>
      </c>
      <c r="I4" s="14">
        <v>17</v>
      </c>
      <c r="J4" s="14">
        <v>12</v>
      </c>
      <c r="K4" s="14" t="s">
        <v>16</v>
      </c>
      <c r="L4" s="15">
        <f>IF(K4="N",D4*G4%+D4,(D4+D4*G4%)-((D4+D4*G4%)*H4%))</f>
        <v>21930.405300000002</v>
      </c>
      <c r="M4" s="15">
        <f>L4*I4%</f>
        <v>3728.1689010000005</v>
      </c>
      <c r="N4" s="15">
        <f>P4*J4%</f>
        <v>1893.2724000000001</v>
      </c>
      <c r="O4" s="15">
        <f>M4-N4</f>
        <v>1834.8965010000004</v>
      </c>
      <c r="P4" s="14">
        <f>D4-F4</f>
        <v>15777.27</v>
      </c>
      <c r="Q4" s="14"/>
      <c r="R4" s="15">
        <f>O4-Q4</f>
        <v>1834.8965010000004</v>
      </c>
    </row>
    <row r="5" spans="1:18" x14ac:dyDescent="0.2">
      <c r="A5" s="41">
        <v>2</v>
      </c>
      <c r="B5" s="42"/>
      <c r="C5" s="13"/>
      <c r="D5" s="18"/>
      <c r="E5" s="18"/>
      <c r="F5" s="18"/>
      <c r="G5" s="14"/>
      <c r="H5" s="14">
        <v>29.41</v>
      </c>
      <c r="I5" s="14"/>
      <c r="J5" s="14"/>
      <c r="K5" s="14"/>
      <c r="L5" s="15">
        <f t="shared" ref="L5:L38" si="0">IF(K5="N",D5*G5%+D5,(D5+D5*G5%)-((D5+D5*G5%)*H5%))</f>
        <v>0</v>
      </c>
      <c r="M5" s="15">
        <f t="shared" ref="M5:M38" si="1">L5*I5%</f>
        <v>0</v>
      </c>
      <c r="N5" s="15">
        <f t="shared" ref="N5:N38" si="2">P5*J5%</f>
        <v>0</v>
      </c>
      <c r="O5" s="15">
        <f t="shared" ref="O5:O38" si="3">M5-N5</f>
        <v>0</v>
      </c>
      <c r="P5" s="14">
        <f t="shared" ref="P5:P38" si="4">D5-F5</f>
        <v>0</v>
      </c>
      <c r="Q5" s="14"/>
      <c r="R5" s="15">
        <f t="shared" ref="R5:R38" si="5">O5-Q5</f>
        <v>0</v>
      </c>
    </row>
    <row r="6" spans="1:18" x14ac:dyDescent="0.2">
      <c r="A6" s="41">
        <v>3</v>
      </c>
      <c r="B6" s="42"/>
      <c r="C6" s="13"/>
      <c r="D6" s="18"/>
      <c r="E6" s="18"/>
      <c r="F6" s="18"/>
      <c r="G6" s="14"/>
      <c r="H6" s="14">
        <v>29.41</v>
      </c>
      <c r="I6" s="14"/>
      <c r="J6" s="14"/>
      <c r="K6" s="14"/>
      <c r="L6" s="15">
        <f t="shared" si="0"/>
        <v>0</v>
      </c>
      <c r="M6" s="15">
        <f t="shared" si="1"/>
        <v>0</v>
      </c>
      <c r="N6" s="15">
        <f t="shared" si="2"/>
        <v>0</v>
      </c>
      <c r="O6" s="15">
        <f t="shared" si="3"/>
        <v>0</v>
      </c>
      <c r="P6" s="14">
        <f t="shared" si="4"/>
        <v>0</v>
      </c>
      <c r="Q6" s="14"/>
      <c r="R6" s="15">
        <f t="shared" si="5"/>
        <v>0</v>
      </c>
    </row>
    <row r="7" spans="1:18" x14ac:dyDescent="0.2">
      <c r="A7" s="41">
        <v>4</v>
      </c>
      <c r="B7" s="42"/>
      <c r="C7" s="13"/>
      <c r="D7" s="18"/>
      <c r="E7" s="18"/>
      <c r="F7" s="18"/>
      <c r="G7" s="14"/>
      <c r="H7" s="14">
        <v>29.41</v>
      </c>
      <c r="I7" s="14"/>
      <c r="J7" s="14"/>
      <c r="K7" s="14"/>
      <c r="L7" s="15">
        <f t="shared" si="0"/>
        <v>0</v>
      </c>
      <c r="M7" s="15">
        <f t="shared" si="1"/>
        <v>0</v>
      </c>
      <c r="N7" s="15">
        <f t="shared" si="2"/>
        <v>0</v>
      </c>
      <c r="O7" s="15">
        <f t="shared" si="3"/>
        <v>0</v>
      </c>
      <c r="P7" s="14">
        <f t="shared" si="4"/>
        <v>0</v>
      </c>
      <c r="Q7" s="14"/>
      <c r="R7" s="15">
        <f t="shared" si="5"/>
        <v>0</v>
      </c>
    </row>
    <row r="8" spans="1:18" x14ac:dyDescent="0.2">
      <c r="A8" s="41">
        <v>5</v>
      </c>
      <c r="B8" s="42"/>
      <c r="C8" s="13"/>
      <c r="D8" s="18"/>
      <c r="E8" s="18"/>
      <c r="F8" s="18"/>
      <c r="G8" s="14"/>
      <c r="H8" s="14">
        <v>29.41</v>
      </c>
      <c r="I8" s="14"/>
      <c r="J8" s="14"/>
      <c r="K8" s="14"/>
      <c r="L8" s="15">
        <f t="shared" si="0"/>
        <v>0</v>
      </c>
      <c r="M8" s="15">
        <f t="shared" si="1"/>
        <v>0</v>
      </c>
      <c r="N8" s="15">
        <f t="shared" si="2"/>
        <v>0</v>
      </c>
      <c r="O8" s="15">
        <f t="shared" si="3"/>
        <v>0</v>
      </c>
      <c r="P8" s="14">
        <f t="shared" si="4"/>
        <v>0</v>
      </c>
      <c r="Q8" s="14"/>
      <c r="R8" s="15">
        <f t="shared" si="5"/>
        <v>0</v>
      </c>
    </row>
    <row r="9" spans="1:18" x14ac:dyDescent="0.2">
      <c r="A9" s="41"/>
      <c r="B9" s="42"/>
      <c r="C9" s="13"/>
      <c r="D9" s="18"/>
      <c r="E9" s="18"/>
      <c r="F9" s="18"/>
      <c r="G9" s="14"/>
      <c r="H9" s="14">
        <v>29.41</v>
      </c>
      <c r="I9" s="14"/>
      <c r="J9" s="14"/>
      <c r="K9" s="14"/>
      <c r="L9" s="15">
        <f t="shared" si="0"/>
        <v>0</v>
      </c>
      <c r="M9" s="15">
        <f t="shared" si="1"/>
        <v>0</v>
      </c>
      <c r="N9" s="15">
        <f t="shared" si="2"/>
        <v>0</v>
      </c>
      <c r="O9" s="15">
        <f t="shared" si="3"/>
        <v>0</v>
      </c>
      <c r="P9" s="14">
        <f t="shared" si="4"/>
        <v>0</v>
      </c>
      <c r="Q9" s="14"/>
      <c r="R9" s="15">
        <f t="shared" si="5"/>
        <v>0</v>
      </c>
    </row>
    <row r="10" spans="1:18" x14ac:dyDescent="0.2">
      <c r="A10" s="41"/>
      <c r="B10" s="42"/>
      <c r="C10" s="13"/>
      <c r="D10" s="18"/>
      <c r="E10" s="18"/>
      <c r="F10" s="18"/>
      <c r="G10" s="14"/>
      <c r="H10" s="14">
        <v>29.41</v>
      </c>
      <c r="I10" s="14"/>
      <c r="J10" s="14"/>
      <c r="K10" s="14"/>
      <c r="L10" s="15">
        <f t="shared" si="0"/>
        <v>0</v>
      </c>
      <c r="M10" s="15">
        <f t="shared" si="1"/>
        <v>0</v>
      </c>
      <c r="N10" s="15">
        <f t="shared" si="2"/>
        <v>0</v>
      </c>
      <c r="O10" s="15">
        <f t="shared" si="3"/>
        <v>0</v>
      </c>
      <c r="P10" s="14">
        <f t="shared" si="4"/>
        <v>0</v>
      </c>
      <c r="Q10" s="14"/>
      <c r="R10" s="15">
        <f t="shared" si="5"/>
        <v>0</v>
      </c>
    </row>
    <row r="11" spans="1:18" x14ac:dyDescent="0.2">
      <c r="A11" s="41"/>
      <c r="B11" s="42"/>
      <c r="C11" s="13"/>
      <c r="D11" s="18"/>
      <c r="E11" s="18"/>
      <c r="F11" s="18"/>
      <c r="G11" s="14"/>
      <c r="H11" s="14">
        <v>29.41</v>
      </c>
      <c r="I11" s="14"/>
      <c r="J11" s="14"/>
      <c r="K11" s="14"/>
      <c r="L11" s="15">
        <f t="shared" si="0"/>
        <v>0</v>
      </c>
      <c r="M11" s="15">
        <f t="shared" si="1"/>
        <v>0</v>
      </c>
      <c r="N11" s="15">
        <f t="shared" si="2"/>
        <v>0</v>
      </c>
      <c r="O11" s="15">
        <f t="shared" si="3"/>
        <v>0</v>
      </c>
      <c r="P11" s="14">
        <f t="shared" si="4"/>
        <v>0</v>
      </c>
      <c r="Q11" s="14"/>
      <c r="R11" s="15">
        <f t="shared" si="5"/>
        <v>0</v>
      </c>
    </row>
    <row r="12" spans="1:18" x14ac:dyDescent="0.2">
      <c r="A12" s="41"/>
      <c r="B12" s="42"/>
      <c r="C12" s="13"/>
      <c r="D12" s="18"/>
      <c r="E12" s="18"/>
      <c r="F12" s="18"/>
      <c r="G12" s="14"/>
      <c r="H12" s="14">
        <v>29.41</v>
      </c>
      <c r="I12" s="14"/>
      <c r="J12" s="14"/>
      <c r="K12" s="14"/>
      <c r="L12" s="15">
        <f t="shared" si="0"/>
        <v>0</v>
      </c>
      <c r="M12" s="15">
        <f t="shared" si="1"/>
        <v>0</v>
      </c>
      <c r="N12" s="15">
        <f t="shared" si="2"/>
        <v>0</v>
      </c>
      <c r="O12" s="15">
        <f t="shared" si="3"/>
        <v>0</v>
      </c>
      <c r="P12" s="14">
        <f t="shared" si="4"/>
        <v>0</v>
      </c>
      <c r="Q12" s="14"/>
      <c r="R12" s="15">
        <f t="shared" si="5"/>
        <v>0</v>
      </c>
    </row>
    <row r="13" spans="1:18" x14ac:dyDescent="0.2">
      <c r="A13" s="41"/>
      <c r="B13" s="42"/>
      <c r="C13" s="13"/>
      <c r="D13" s="19"/>
      <c r="E13" s="18"/>
      <c r="F13" s="18"/>
      <c r="G13" s="14"/>
      <c r="H13" s="14">
        <v>29.41</v>
      </c>
      <c r="I13" s="14"/>
      <c r="J13" s="14"/>
      <c r="K13" s="14"/>
      <c r="L13" s="15">
        <f t="shared" si="0"/>
        <v>0</v>
      </c>
      <c r="M13" s="15">
        <f t="shared" si="1"/>
        <v>0</v>
      </c>
      <c r="N13" s="15">
        <f t="shared" si="2"/>
        <v>0</v>
      </c>
      <c r="O13" s="15">
        <f t="shared" si="3"/>
        <v>0</v>
      </c>
      <c r="P13" s="14">
        <f t="shared" si="4"/>
        <v>0</v>
      </c>
      <c r="Q13" s="14"/>
      <c r="R13" s="15">
        <f t="shared" si="5"/>
        <v>0</v>
      </c>
    </row>
    <row r="14" spans="1:18" x14ac:dyDescent="0.2">
      <c r="A14" s="41"/>
      <c r="B14" s="42"/>
      <c r="C14" s="13"/>
      <c r="D14" s="18"/>
      <c r="E14" s="18"/>
      <c r="F14" s="18"/>
      <c r="G14" s="14"/>
      <c r="H14" s="14">
        <v>29.41</v>
      </c>
      <c r="I14" s="14"/>
      <c r="J14" s="14"/>
      <c r="K14" s="14"/>
      <c r="L14" s="15">
        <f t="shared" si="0"/>
        <v>0</v>
      </c>
      <c r="M14" s="15">
        <f t="shared" si="1"/>
        <v>0</v>
      </c>
      <c r="N14" s="15">
        <f t="shared" si="2"/>
        <v>0</v>
      </c>
      <c r="O14" s="15">
        <f t="shared" si="3"/>
        <v>0</v>
      </c>
      <c r="P14" s="14">
        <f t="shared" si="4"/>
        <v>0</v>
      </c>
      <c r="Q14" s="14"/>
      <c r="R14" s="15">
        <f t="shared" si="5"/>
        <v>0</v>
      </c>
    </row>
    <row r="15" spans="1:18" x14ac:dyDescent="0.2">
      <c r="A15" s="41"/>
      <c r="B15" s="42"/>
      <c r="C15" s="13"/>
      <c r="D15" s="18"/>
      <c r="E15" s="18"/>
      <c r="F15" s="18"/>
      <c r="G15" s="14"/>
      <c r="H15" s="14">
        <v>29.41</v>
      </c>
      <c r="I15" s="14"/>
      <c r="J15" s="14"/>
      <c r="K15" s="14"/>
      <c r="L15" s="15">
        <f t="shared" si="0"/>
        <v>0</v>
      </c>
      <c r="M15" s="15">
        <f t="shared" si="1"/>
        <v>0</v>
      </c>
      <c r="N15" s="15">
        <f t="shared" si="2"/>
        <v>0</v>
      </c>
      <c r="O15" s="15">
        <f t="shared" si="3"/>
        <v>0</v>
      </c>
      <c r="P15" s="14">
        <f t="shared" si="4"/>
        <v>0</v>
      </c>
      <c r="Q15" s="14"/>
      <c r="R15" s="15">
        <f t="shared" si="5"/>
        <v>0</v>
      </c>
    </row>
    <row r="16" spans="1:18" x14ac:dyDescent="0.2">
      <c r="A16" s="41"/>
      <c r="B16" s="42"/>
      <c r="C16" s="13"/>
      <c r="D16" s="18"/>
      <c r="E16" s="18"/>
      <c r="F16" s="18"/>
      <c r="G16" s="14"/>
      <c r="H16" s="14">
        <v>29.41</v>
      </c>
      <c r="I16" s="14"/>
      <c r="J16" s="14"/>
      <c r="K16" s="14"/>
      <c r="L16" s="15">
        <f t="shared" si="0"/>
        <v>0</v>
      </c>
      <c r="M16" s="15">
        <f t="shared" si="1"/>
        <v>0</v>
      </c>
      <c r="N16" s="15">
        <f t="shared" si="2"/>
        <v>0</v>
      </c>
      <c r="O16" s="15">
        <f t="shared" si="3"/>
        <v>0</v>
      </c>
      <c r="P16" s="14">
        <f t="shared" si="4"/>
        <v>0</v>
      </c>
      <c r="Q16" s="14"/>
      <c r="R16" s="15">
        <f t="shared" si="5"/>
        <v>0</v>
      </c>
    </row>
    <row r="17" spans="1:18" x14ac:dyDescent="0.2">
      <c r="A17" s="41"/>
      <c r="B17" s="42"/>
      <c r="C17" s="13"/>
      <c r="D17" s="18"/>
      <c r="E17" s="18"/>
      <c r="F17" s="18"/>
      <c r="G17" s="14"/>
      <c r="H17" s="14">
        <v>29.41</v>
      </c>
      <c r="I17" s="14"/>
      <c r="J17" s="14"/>
      <c r="K17" s="14"/>
      <c r="L17" s="15">
        <f t="shared" si="0"/>
        <v>0</v>
      </c>
      <c r="M17" s="15">
        <f t="shared" si="1"/>
        <v>0</v>
      </c>
      <c r="N17" s="15">
        <f t="shared" si="2"/>
        <v>0</v>
      </c>
      <c r="O17" s="15">
        <f t="shared" si="3"/>
        <v>0</v>
      </c>
      <c r="P17" s="14">
        <f t="shared" si="4"/>
        <v>0</v>
      </c>
      <c r="Q17" s="14"/>
      <c r="R17" s="15">
        <f t="shared" si="5"/>
        <v>0</v>
      </c>
    </row>
    <row r="18" spans="1:18" x14ac:dyDescent="0.2">
      <c r="A18" s="41"/>
      <c r="B18" s="42"/>
      <c r="C18" s="13"/>
      <c r="D18" s="18"/>
      <c r="E18" s="18"/>
      <c r="F18" s="18"/>
      <c r="G18" s="14"/>
      <c r="H18" s="14">
        <v>29.41</v>
      </c>
      <c r="I18" s="14"/>
      <c r="J18" s="14"/>
      <c r="K18" s="14"/>
      <c r="L18" s="15">
        <f t="shared" si="0"/>
        <v>0</v>
      </c>
      <c r="M18" s="15">
        <f t="shared" si="1"/>
        <v>0</v>
      </c>
      <c r="N18" s="15">
        <f t="shared" si="2"/>
        <v>0</v>
      </c>
      <c r="O18" s="15">
        <f t="shared" si="3"/>
        <v>0</v>
      </c>
      <c r="P18" s="14">
        <f t="shared" si="4"/>
        <v>0</v>
      </c>
      <c r="Q18" s="14"/>
      <c r="R18" s="15">
        <f t="shared" si="5"/>
        <v>0</v>
      </c>
    </row>
    <row r="19" spans="1:18" x14ac:dyDescent="0.2">
      <c r="A19" s="41"/>
      <c r="B19" s="42"/>
      <c r="C19" s="13"/>
      <c r="D19" s="18"/>
      <c r="E19" s="18"/>
      <c r="F19" s="18"/>
      <c r="G19" s="14"/>
      <c r="H19" s="14">
        <v>29.41</v>
      </c>
      <c r="I19" s="14"/>
      <c r="J19" s="14"/>
      <c r="K19" s="14"/>
      <c r="L19" s="15">
        <f t="shared" si="0"/>
        <v>0</v>
      </c>
      <c r="M19" s="15">
        <f t="shared" si="1"/>
        <v>0</v>
      </c>
      <c r="N19" s="15">
        <f t="shared" si="2"/>
        <v>0</v>
      </c>
      <c r="O19" s="15">
        <f t="shared" si="3"/>
        <v>0</v>
      </c>
      <c r="P19" s="14">
        <f t="shared" si="4"/>
        <v>0</v>
      </c>
      <c r="Q19" s="14"/>
      <c r="R19" s="15">
        <f t="shared" si="5"/>
        <v>0</v>
      </c>
    </row>
    <row r="20" spans="1:18" x14ac:dyDescent="0.2">
      <c r="A20" s="41"/>
      <c r="B20" s="42"/>
      <c r="C20" s="13"/>
      <c r="D20" s="18"/>
      <c r="E20" s="18"/>
      <c r="F20" s="18"/>
      <c r="G20" s="14"/>
      <c r="H20" s="14">
        <v>29.41</v>
      </c>
      <c r="I20" s="14"/>
      <c r="J20" s="14"/>
      <c r="K20" s="14"/>
      <c r="L20" s="15">
        <f t="shared" si="0"/>
        <v>0</v>
      </c>
      <c r="M20" s="15">
        <f t="shared" si="1"/>
        <v>0</v>
      </c>
      <c r="N20" s="15">
        <f t="shared" si="2"/>
        <v>0</v>
      </c>
      <c r="O20" s="15">
        <f t="shared" si="3"/>
        <v>0</v>
      </c>
      <c r="P20" s="14">
        <f t="shared" si="4"/>
        <v>0</v>
      </c>
      <c r="Q20" s="14"/>
      <c r="R20" s="15">
        <f t="shared" si="5"/>
        <v>0</v>
      </c>
    </row>
    <row r="21" spans="1:18" x14ac:dyDescent="0.2">
      <c r="A21" s="41"/>
      <c r="B21" s="42"/>
      <c r="C21" s="13"/>
      <c r="D21" s="14"/>
      <c r="E21" s="14"/>
      <c r="F21" s="14"/>
      <c r="G21" s="14"/>
      <c r="H21" s="14">
        <v>29.41</v>
      </c>
      <c r="I21" s="14"/>
      <c r="J21" s="14"/>
      <c r="K21" s="14"/>
      <c r="L21" s="15">
        <f t="shared" si="0"/>
        <v>0</v>
      </c>
      <c r="M21" s="15">
        <f t="shared" si="1"/>
        <v>0</v>
      </c>
      <c r="N21" s="15">
        <f t="shared" si="2"/>
        <v>0</v>
      </c>
      <c r="O21" s="15">
        <f t="shared" si="3"/>
        <v>0</v>
      </c>
      <c r="P21" s="14">
        <f t="shared" si="4"/>
        <v>0</v>
      </c>
      <c r="Q21" s="14"/>
      <c r="R21" s="15">
        <f t="shared" si="5"/>
        <v>0</v>
      </c>
    </row>
    <row r="22" spans="1:18" x14ac:dyDescent="0.2">
      <c r="A22" s="41"/>
      <c r="B22" s="42"/>
      <c r="C22" s="13"/>
      <c r="D22" s="14"/>
      <c r="E22" s="14"/>
      <c r="F22" s="14"/>
      <c r="G22" s="14"/>
      <c r="H22" s="14">
        <v>29.41</v>
      </c>
      <c r="I22" s="14"/>
      <c r="J22" s="14"/>
      <c r="K22" s="14"/>
      <c r="L22" s="15">
        <f t="shared" si="0"/>
        <v>0</v>
      </c>
      <c r="M22" s="15">
        <f t="shared" si="1"/>
        <v>0</v>
      </c>
      <c r="N22" s="15">
        <f t="shared" si="2"/>
        <v>0</v>
      </c>
      <c r="O22" s="15">
        <f t="shared" si="3"/>
        <v>0</v>
      </c>
      <c r="P22" s="14">
        <f t="shared" si="4"/>
        <v>0</v>
      </c>
      <c r="Q22" s="14"/>
      <c r="R22" s="15">
        <f t="shared" si="5"/>
        <v>0</v>
      </c>
    </row>
    <row r="23" spans="1:18" x14ac:dyDescent="0.2">
      <c r="A23" s="41"/>
      <c r="B23" s="42"/>
      <c r="C23" s="13"/>
      <c r="D23" s="14"/>
      <c r="E23" s="14"/>
      <c r="F23" s="14"/>
      <c r="G23" s="14"/>
      <c r="H23" s="14">
        <v>29.41</v>
      </c>
      <c r="I23" s="14"/>
      <c r="J23" s="14"/>
      <c r="K23" s="14"/>
      <c r="L23" s="15">
        <f t="shared" si="0"/>
        <v>0</v>
      </c>
      <c r="M23" s="15">
        <f t="shared" si="1"/>
        <v>0</v>
      </c>
      <c r="N23" s="15">
        <f t="shared" si="2"/>
        <v>0</v>
      </c>
      <c r="O23" s="15">
        <f t="shared" si="3"/>
        <v>0</v>
      </c>
      <c r="P23" s="14">
        <f t="shared" si="4"/>
        <v>0</v>
      </c>
      <c r="Q23" s="14"/>
      <c r="R23" s="15">
        <f t="shared" si="5"/>
        <v>0</v>
      </c>
    </row>
    <row r="24" spans="1:18" x14ac:dyDescent="0.2">
      <c r="A24" s="41"/>
      <c r="B24" s="42"/>
      <c r="C24" s="13"/>
      <c r="D24" s="14"/>
      <c r="E24" s="14"/>
      <c r="F24" s="14"/>
      <c r="G24" s="14"/>
      <c r="H24" s="14">
        <v>29.41</v>
      </c>
      <c r="I24" s="14"/>
      <c r="J24" s="14"/>
      <c r="K24" s="14"/>
      <c r="L24" s="15">
        <f t="shared" si="0"/>
        <v>0</v>
      </c>
      <c r="M24" s="15">
        <f t="shared" si="1"/>
        <v>0</v>
      </c>
      <c r="N24" s="15">
        <f t="shared" si="2"/>
        <v>0</v>
      </c>
      <c r="O24" s="15">
        <f t="shared" si="3"/>
        <v>0</v>
      </c>
      <c r="P24" s="14">
        <f t="shared" si="4"/>
        <v>0</v>
      </c>
      <c r="Q24" s="14"/>
      <c r="R24" s="15">
        <f t="shared" si="5"/>
        <v>0</v>
      </c>
    </row>
    <row r="25" spans="1:18" x14ac:dyDescent="0.2">
      <c r="A25" s="41"/>
      <c r="B25" s="42"/>
      <c r="C25" s="13"/>
      <c r="D25" s="14"/>
      <c r="E25" s="14"/>
      <c r="F25" s="14"/>
      <c r="G25" s="14"/>
      <c r="H25" s="14">
        <v>29.41</v>
      </c>
      <c r="I25" s="14"/>
      <c r="J25" s="14"/>
      <c r="K25" s="14"/>
      <c r="L25" s="15">
        <f t="shared" si="0"/>
        <v>0</v>
      </c>
      <c r="M25" s="15">
        <f t="shared" si="1"/>
        <v>0</v>
      </c>
      <c r="N25" s="15">
        <f t="shared" si="2"/>
        <v>0</v>
      </c>
      <c r="O25" s="15">
        <f t="shared" si="3"/>
        <v>0</v>
      </c>
      <c r="P25" s="14">
        <f t="shared" si="4"/>
        <v>0</v>
      </c>
      <c r="Q25" s="14"/>
      <c r="R25" s="15">
        <f t="shared" si="5"/>
        <v>0</v>
      </c>
    </row>
    <row r="26" spans="1:18" x14ac:dyDescent="0.2">
      <c r="A26" s="41"/>
      <c r="B26" s="42"/>
      <c r="C26" s="13"/>
      <c r="D26" s="14"/>
      <c r="E26" s="14"/>
      <c r="F26" s="14"/>
      <c r="G26" s="14"/>
      <c r="H26" s="14">
        <v>29.41</v>
      </c>
      <c r="I26" s="14"/>
      <c r="J26" s="14"/>
      <c r="K26" s="14"/>
      <c r="L26" s="15">
        <f t="shared" si="0"/>
        <v>0</v>
      </c>
      <c r="M26" s="15">
        <f t="shared" si="1"/>
        <v>0</v>
      </c>
      <c r="N26" s="15">
        <f t="shared" si="2"/>
        <v>0</v>
      </c>
      <c r="O26" s="15">
        <f t="shared" si="3"/>
        <v>0</v>
      </c>
      <c r="P26" s="14">
        <f t="shared" si="4"/>
        <v>0</v>
      </c>
      <c r="Q26" s="14"/>
      <c r="R26" s="15">
        <f t="shared" si="5"/>
        <v>0</v>
      </c>
    </row>
    <row r="27" spans="1:18" x14ac:dyDescent="0.2">
      <c r="A27" s="41"/>
      <c r="B27" s="42"/>
      <c r="C27" s="13"/>
      <c r="D27" s="14"/>
      <c r="E27" s="14"/>
      <c r="F27" s="14"/>
      <c r="G27" s="14"/>
      <c r="H27" s="14">
        <v>29.41</v>
      </c>
      <c r="I27" s="14"/>
      <c r="J27" s="14"/>
      <c r="K27" s="14"/>
      <c r="L27" s="15">
        <f t="shared" si="0"/>
        <v>0</v>
      </c>
      <c r="M27" s="15">
        <f t="shared" si="1"/>
        <v>0</v>
      </c>
      <c r="N27" s="15">
        <f t="shared" si="2"/>
        <v>0</v>
      </c>
      <c r="O27" s="15">
        <f t="shared" si="3"/>
        <v>0</v>
      </c>
      <c r="P27" s="14">
        <f t="shared" si="4"/>
        <v>0</v>
      </c>
      <c r="Q27" s="14"/>
      <c r="R27" s="15">
        <f t="shared" si="5"/>
        <v>0</v>
      </c>
    </row>
    <row r="28" spans="1:18" x14ac:dyDescent="0.2">
      <c r="A28" s="41"/>
      <c r="B28" s="42"/>
      <c r="C28" s="13"/>
      <c r="D28" s="14"/>
      <c r="E28" s="14"/>
      <c r="F28" s="14"/>
      <c r="G28" s="14"/>
      <c r="H28" s="14">
        <v>29.41</v>
      </c>
      <c r="I28" s="14"/>
      <c r="J28" s="14"/>
      <c r="K28" s="14"/>
      <c r="L28" s="15">
        <f t="shared" si="0"/>
        <v>0</v>
      </c>
      <c r="M28" s="15">
        <f t="shared" si="1"/>
        <v>0</v>
      </c>
      <c r="N28" s="15">
        <f t="shared" si="2"/>
        <v>0</v>
      </c>
      <c r="O28" s="15">
        <f t="shared" si="3"/>
        <v>0</v>
      </c>
      <c r="P28" s="14">
        <f t="shared" si="4"/>
        <v>0</v>
      </c>
      <c r="Q28" s="14"/>
      <c r="R28" s="15">
        <f t="shared" si="5"/>
        <v>0</v>
      </c>
    </row>
    <row r="29" spans="1:18" x14ac:dyDescent="0.2">
      <c r="A29" s="41"/>
      <c r="B29" s="42"/>
      <c r="C29" s="13"/>
      <c r="D29" s="14"/>
      <c r="E29" s="14"/>
      <c r="F29" s="14"/>
      <c r="G29" s="14"/>
      <c r="H29" s="14">
        <v>29.41</v>
      </c>
      <c r="I29" s="14"/>
      <c r="J29" s="14"/>
      <c r="K29" s="14"/>
      <c r="L29" s="15">
        <f t="shared" si="0"/>
        <v>0</v>
      </c>
      <c r="M29" s="15">
        <f t="shared" si="1"/>
        <v>0</v>
      </c>
      <c r="N29" s="15">
        <f t="shared" si="2"/>
        <v>0</v>
      </c>
      <c r="O29" s="15">
        <f t="shared" si="3"/>
        <v>0</v>
      </c>
      <c r="P29" s="14">
        <f t="shared" si="4"/>
        <v>0</v>
      </c>
      <c r="Q29" s="14"/>
      <c r="R29" s="15">
        <f t="shared" si="5"/>
        <v>0</v>
      </c>
    </row>
    <row r="30" spans="1:18" x14ac:dyDescent="0.2">
      <c r="A30" s="41"/>
      <c r="B30" s="42"/>
      <c r="C30" s="13"/>
      <c r="D30" s="14"/>
      <c r="E30" s="14"/>
      <c r="F30" s="14"/>
      <c r="G30" s="14"/>
      <c r="H30" s="14">
        <v>29.41</v>
      </c>
      <c r="I30" s="14"/>
      <c r="J30" s="14"/>
      <c r="K30" s="14"/>
      <c r="L30" s="15">
        <f t="shared" si="0"/>
        <v>0</v>
      </c>
      <c r="M30" s="15">
        <f t="shared" si="1"/>
        <v>0</v>
      </c>
      <c r="N30" s="15">
        <f t="shared" si="2"/>
        <v>0</v>
      </c>
      <c r="O30" s="15">
        <f t="shared" si="3"/>
        <v>0</v>
      </c>
      <c r="P30" s="14">
        <f t="shared" si="4"/>
        <v>0</v>
      </c>
      <c r="Q30" s="14"/>
      <c r="R30" s="15">
        <f t="shared" si="5"/>
        <v>0</v>
      </c>
    </row>
    <row r="31" spans="1:18" x14ac:dyDescent="0.2">
      <c r="A31" s="41"/>
      <c r="B31" s="42"/>
      <c r="C31" s="13"/>
      <c r="D31" s="14"/>
      <c r="E31" s="14"/>
      <c r="F31" s="14"/>
      <c r="G31" s="14"/>
      <c r="H31" s="14">
        <v>29.41</v>
      </c>
      <c r="I31" s="14"/>
      <c r="J31" s="14"/>
      <c r="K31" s="14"/>
      <c r="L31" s="15">
        <f t="shared" si="0"/>
        <v>0</v>
      </c>
      <c r="M31" s="15">
        <f t="shared" si="1"/>
        <v>0</v>
      </c>
      <c r="N31" s="15">
        <f t="shared" si="2"/>
        <v>0</v>
      </c>
      <c r="O31" s="15">
        <f t="shared" si="3"/>
        <v>0</v>
      </c>
      <c r="P31" s="14">
        <f t="shared" si="4"/>
        <v>0</v>
      </c>
      <c r="Q31" s="14"/>
      <c r="R31" s="15">
        <f t="shared" si="5"/>
        <v>0</v>
      </c>
    </row>
    <row r="32" spans="1:18" x14ac:dyDescent="0.2">
      <c r="A32" s="41"/>
      <c r="B32" s="42"/>
      <c r="C32" s="13"/>
      <c r="D32" s="14"/>
      <c r="E32" s="14"/>
      <c r="F32" s="14"/>
      <c r="G32" s="14"/>
      <c r="H32" s="14">
        <v>29.41</v>
      </c>
      <c r="I32" s="14"/>
      <c r="J32" s="14"/>
      <c r="K32" s="14"/>
      <c r="L32" s="15">
        <f t="shared" si="0"/>
        <v>0</v>
      </c>
      <c r="M32" s="15">
        <f t="shared" si="1"/>
        <v>0</v>
      </c>
      <c r="N32" s="15">
        <f t="shared" si="2"/>
        <v>0</v>
      </c>
      <c r="O32" s="15">
        <f t="shared" si="3"/>
        <v>0</v>
      </c>
      <c r="P32" s="14">
        <f t="shared" si="4"/>
        <v>0</v>
      </c>
      <c r="Q32" s="14"/>
      <c r="R32" s="15">
        <f t="shared" si="5"/>
        <v>0</v>
      </c>
    </row>
    <row r="33" spans="1:18" x14ac:dyDescent="0.2">
      <c r="A33" s="41"/>
      <c r="B33" s="42"/>
      <c r="C33" s="13"/>
      <c r="D33" s="14"/>
      <c r="E33" s="14"/>
      <c r="F33" s="14"/>
      <c r="G33" s="14"/>
      <c r="H33" s="14">
        <v>29.41</v>
      </c>
      <c r="I33" s="14"/>
      <c r="J33" s="14"/>
      <c r="K33" s="14"/>
      <c r="L33" s="15">
        <f t="shared" si="0"/>
        <v>0</v>
      </c>
      <c r="M33" s="15">
        <f t="shared" si="1"/>
        <v>0</v>
      </c>
      <c r="N33" s="15">
        <f t="shared" si="2"/>
        <v>0</v>
      </c>
      <c r="O33" s="15">
        <f t="shared" si="3"/>
        <v>0</v>
      </c>
      <c r="P33" s="14">
        <f t="shared" si="4"/>
        <v>0</v>
      </c>
      <c r="Q33" s="14"/>
      <c r="R33" s="15">
        <f t="shared" si="5"/>
        <v>0</v>
      </c>
    </row>
    <row r="34" spans="1:18" x14ac:dyDescent="0.2">
      <c r="A34" s="41"/>
      <c r="B34" s="42"/>
      <c r="C34" s="13"/>
      <c r="D34" s="14"/>
      <c r="E34" s="14"/>
      <c r="F34" s="14"/>
      <c r="G34" s="14"/>
      <c r="H34" s="14">
        <v>29.41</v>
      </c>
      <c r="I34" s="14"/>
      <c r="J34" s="14"/>
      <c r="K34" s="14"/>
      <c r="L34" s="15">
        <f t="shared" si="0"/>
        <v>0</v>
      </c>
      <c r="M34" s="15">
        <f t="shared" si="1"/>
        <v>0</v>
      </c>
      <c r="N34" s="15">
        <f t="shared" si="2"/>
        <v>0</v>
      </c>
      <c r="O34" s="15">
        <f t="shared" si="3"/>
        <v>0</v>
      </c>
      <c r="P34" s="14">
        <f t="shared" si="4"/>
        <v>0</v>
      </c>
      <c r="Q34" s="14"/>
      <c r="R34" s="15">
        <f t="shared" si="5"/>
        <v>0</v>
      </c>
    </row>
    <row r="35" spans="1:18" x14ac:dyDescent="0.2">
      <c r="A35" s="41"/>
      <c r="B35" s="42"/>
      <c r="C35" s="13"/>
      <c r="D35" s="14"/>
      <c r="E35" s="14"/>
      <c r="F35" s="14"/>
      <c r="G35" s="14"/>
      <c r="H35" s="14">
        <v>29.41</v>
      </c>
      <c r="I35" s="14"/>
      <c r="J35" s="14"/>
      <c r="K35" s="14"/>
      <c r="L35" s="15">
        <f t="shared" si="0"/>
        <v>0</v>
      </c>
      <c r="M35" s="15">
        <f t="shared" si="1"/>
        <v>0</v>
      </c>
      <c r="N35" s="15">
        <f t="shared" si="2"/>
        <v>0</v>
      </c>
      <c r="O35" s="15">
        <f t="shared" si="3"/>
        <v>0</v>
      </c>
      <c r="P35" s="14">
        <f t="shared" si="4"/>
        <v>0</v>
      </c>
      <c r="Q35" s="14"/>
      <c r="R35" s="15">
        <f t="shared" si="5"/>
        <v>0</v>
      </c>
    </row>
    <row r="36" spans="1:18" x14ac:dyDescent="0.2">
      <c r="A36" s="41"/>
      <c r="B36" s="42"/>
      <c r="C36" s="13"/>
      <c r="D36" s="14"/>
      <c r="E36" s="14"/>
      <c r="F36" s="14"/>
      <c r="G36" s="14"/>
      <c r="H36" s="14">
        <v>29.41</v>
      </c>
      <c r="I36" s="14"/>
      <c r="J36" s="14"/>
      <c r="K36" s="14"/>
      <c r="L36" s="15">
        <f t="shared" si="0"/>
        <v>0</v>
      </c>
      <c r="M36" s="15">
        <f t="shared" si="1"/>
        <v>0</v>
      </c>
      <c r="N36" s="15">
        <f t="shared" si="2"/>
        <v>0</v>
      </c>
      <c r="O36" s="15">
        <f t="shared" si="3"/>
        <v>0</v>
      </c>
      <c r="P36" s="14">
        <f t="shared" si="4"/>
        <v>0</v>
      </c>
      <c r="Q36" s="14"/>
      <c r="R36" s="15">
        <f t="shared" si="5"/>
        <v>0</v>
      </c>
    </row>
    <row r="37" spans="1:18" x14ac:dyDescent="0.2">
      <c r="A37" s="41"/>
      <c r="B37" s="42"/>
      <c r="C37" s="13"/>
      <c r="D37" s="14"/>
      <c r="E37" s="14"/>
      <c r="F37" s="14"/>
      <c r="G37" s="14"/>
      <c r="H37" s="14">
        <v>29.41</v>
      </c>
      <c r="I37" s="14"/>
      <c r="J37" s="14"/>
      <c r="K37" s="14"/>
      <c r="L37" s="15">
        <f t="shared" si="0"/>
        <v>0</v>
      </c>
      <c r="M37" s="15">
        <f t="shared" si="1"/>
        <v>0</v>
      </c>
      <c r="N37" s="15">
        <f t="shared" si="2"/>
        <v>0</v>
      </c>
      <c r="O37" s="15">
        <f t="shared" si="3"/>
        <v>0</v>
      </c>
      <c r="P37" s="14">
        <f t="shared" si="4"/>
        <v>0</v>
      </c>
      <c r="Q37" s="14"/>
      <c r="R37" s="15">
        <f t="shared" si="5"/>
        <v>0</v>
      </c>
    </row>
    <row r="38" spans="1:18" x14ac:dyDescent="0.2">
      <c r="A38" s="41"/>
      <c r="B38" s="42"/>
      <c r="C38" s="13"/>
      <c r="D38" s="14"/>
      <c r="E38" s="14"/>
      <c r="F38" s="14"/>
      <c r="G38" s="14"/>
      <c r="H38" s="14">
        <v>29.41</v>
      </c>
      <c r="I38" s="14"/>
      <c r="J38" s="14"/>
      <c r="K38" s="14"/>
      <c r="L38" s="15">
        <f t="shared" si="0"/>
        <v>0</v>
      </c>
      <c r="M38" s="15">
        <f t="shared" si="1"/>
        <v>0</v>
      </c>
      <c r="N38" s="15">
        <f t="shared" si="2"/>
        <v>0</v>
      </c>
      <c r="O38" s="15">
        <f t="shared" si="3"/>
        <v>0</v>
      </c>
      <c r="P38" s="14">
        <f t="shared" si="4"/>
        <v>0</v>
      </c>
      <c r="Q38" s="14"/>
      <c r="R38" s="15">
        <f t="shared" si="5"/>
        <v>0</v>
      </c>
    </row>
    <row r="39" spans="1:18" x14ac:dyDescent="0.2">
      <c r="A39" s="43"/>
      <c r="B39" s="44"/>
      <c r="C39" s="17"/>
      <c r="D39" s="15">
        <f>SUM(D4:D33)</f>
        <v>15777.27</v>
      </c>
      <c r="E39" s="15">
        <f>SUM(E4:E33)</f>
        <v>15777.27</v>
      </c>
      <c r="F39" s="15">
        <f>SUM(F4:F33)</f>
        <v>0</v>
      </c>
      <c r="G39" s="14"/>
      <c r="H39" s="14"/>
      <c r="I39" s="15"/>
      <c r="J39" s="15"/>
      <c r="K39" s="15"/>
      <c r="L39" s="15">
        <f>SUM(L4:L33)</f>
        <v>21930.405300000002</v>
      </c>
      <c r="M39" s="15">
        <f>SUM(M4:M33)</f>
        <v>3728.1689010000005</v>
      </c>
      <c r="N39" s="15">
        <f>SUM(N4:N33)</f>
        <v>1893.2724000000001</v>
      </c>
      <c r="O39" s="15">
        <f>SUM(O4:O33)</f>
        <v>1834.8965010000004</v>
      </c>
      <c r="P39" s="16"/>
      <c r="Q39" s="15">
        <f>SUM(Q4:Q38)</f>
        <v>0</v>
      </c>
      <c r="R39" s="15">
        <f>SUM(R4:R33)</f>
        <v>1834.8965010000004</v>
      </c>
    </row>
  </sheetData>
  <sheetProtection password="C71F" sheet="1"/>
  <mergeCells count="38">
    <mergeCell ref="A38:B38"/>
    <mergeCell ref="A39:B39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A2:O2"/>
    <mergeCell ref="A3:B3"/>
    <mergeCell ref="A4:B4"/>
    <mergeCell ref="A5:B5"/>
    <mergeCell ref="A6:B6"/>
    <mergeCell ref="A7:B7"/>
  </mergeCells>
  <printOptions horizontalCentered="1"/>
  <pageMargins left="0.24" right="0.19685039370078741" top="0.19685039370078741" bottom="0.19685039370078741" header="0.19685039370078741" footer="0.19685039370078741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ACEEE-7F1D-4816-B856-C6B7A6FA39D6}">
  <sheetPr codeName="Plan13"/>
  <dimension ref="A1:T39"/>
  <sheetViews>
    <sheetView zoomScaleNormal="100" workbookViewId="0">
      <selection activeCell="L5" sqref="L5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42578125" style="1" customWidth="1"/>
    <col min="12" max="12" width="5.7109375" style="1" customWidth="1"/>
    <col min="13" max="13" width="6.140625" style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43514</v>
      </c>
      <c r="C4" s="34">
        <v>43504</v>
      </c>
      <c r="D4" s="20">
        <v>81788</v>
      </c>
      <c r="E4" s="21">
        <v>122.4</v>
      </c>
      <c r="F4" s="21">
        <v>122.4</v>
      </c>
      <c r="G4" s="21"/>
      <c r="H4" s="21">
        <v>40.49</v>
      </c>
      <c r="I4" s="21"/>
      <c r="J4" s="21">
        <v>18</v>
      </c>
      <c r="K4" s="21">
        <v>4</v>
      </c>
      <c r="L4" s="21"/>
      <c r="M4" s="21"/>
      <c r="N4" s="36">
        <f>IF(L4="N",E4*H4%+E4,(E4+E4*H4%)-((E4+E4*H4%)*I4%))</f>
        <v>171.95976000000002</v>
      </c>
      <c r="O4" s="36">
        <f>N4*J4%</f>
        <v>30.952756800000003</v>
      </c>
      <c r="P4" s="36">
        <f>R4*K4%</f>
        <v>4.8959999999999999</v>
      </c>
      <c r="Q4" s="36">
        <f>O4-P4</f>
        <v>26.056756800000002</v>
      </c>
      <c r="R4" s="36">
        <f>E4-G4</f>
        <v>122.4</v>
      </c>
      <c r="S4" s="28">
        <v>0</v>
      </c>
      <c r="T4" s="36">
        <f>Q4-S4</f>
        <v>26.056756800000002</v>
      </c>
    </row>
    <row r="5" spans="1:20" x14ac:dyDescent="0.2">
      <c r="A5" s="26">
        <v>2</v>
      </c>
      <c r="B5" s="34">
        <v>43517</v>
      </c>
      <c r="C5" s="34">
        <v>43510</v>
      </c>
      <c r="D5" s="20">
        <v>250069</v>
      </c>
      <c r="E5" s="21">
        <v>658.56</v>
      </c>
      <c r="F5" s="21">
        <v>658.56</v>
      </c>
      <c r="G5" s="21"/>
      <c r="H5" s="21">
        <v>36.1</v>
      </c>
      <c r="I5" s="21"/>
      <c r="J5" s="21">
        <v>18</v>
      </c>
      <c r="K5" s="21">
        <v>7</v>
      </c>
      <c r="L5" s="21"/>
      <c r="M5" s="21"/>
      <c r="N5" s="36">
        <f t="shared" ref="N5:N38" si="0">IF(L5="N",E5*H5%+E5,(E5+E5*H5%)-((E5+E5*H5%)*I5%))</f>
        <v>896.30015999999989</v>
      </c>
      <c r="O5" s="36">
        <f t="shared" ref="O5:O38" si="1">N5*J5%</f>
        <v>161.33402879999997</v>
      </c>
      <c r="P5" s="36">
        <f t="shared" ref="P5:P38" si="2">R5*K5%</f>
        <v>46.099200000000003</v>
      </c>
      <c r="Q5" s="36">
        <f t="shared" ref="Q5:Q38" si="3">O5-P5</f>
        <v>115.23482879999997</v>
      </c>
      <c r="R5" s="36">
        <f t="shared" ref="R5:R38" si="4">E5-G5</f>
        <v>658.56</v>
      </c>
      <c r="S5" s="28">
        <v>0</v>
      </c>
      <c r="T5" s="36">
        <f t="shared" ref="T5:T38" si="5">Q5-S5</f>
        <v>115.23482879999997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780.95999999999992</v>
      </c>
      <c r="F39" s="36">
        <f>SUM(F4:F38)</f>
        <v>780.95999999999992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1068.25992</v>
      </c>
      <c r="O39" s="36">
        <f>SUM(O4:O38)</f>
        <v>192.28678559999997</v>
      </c>
      <c r="P39" s="36">
        <f>SUM(P4:P38)</f>
        <v>50.995200000000004</v>
      </c>
      <c r="Q39" s="36">
        <f>SUM(Q4:Q38)</f>
        <v>141.29158559999996</v>
      </c>
      <c r="R39" s="36"/>
      <c r="S39" s="36">
        <f>SUM(S4:S38)</f>
        <v>0</v>
      </c>
      <c r="T39" s="36">
        <f>SUM(T4:T38)</f>
        <v>141.29158559999996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73639-E1F0-45D1-A53A-F0AC2CB47659}">
  <dimension ref="A1:T39"/>
  <sheetViews>
    <sheetView zoomScaleNormal="100" workbookViewId="0">
      <selection activeCell="L8" sqref="L8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42578125" style="1" customWidth="1"/>
    <col min="12" max="12" width="5.7109375" style="1" customWidth="1"/>
    <col min="13" max="13" width="6.140625" style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24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43598</v>
      </c>
      <c r="C4" s="34">
        <v>43594</v>
      </c>
      <c r="D4" s="20">
        <v>365866</v>
      </c>
      <c r="E4" s="21">
        <v>420</v>
      </c>
      <c r="F4" s="21">
        <v>420</v>
      </c>
      <c r="G4" s="21"/>
      <c r="H4" s="21">
        <v>36.1</v>
      </c>
      <c r="I4" s="21"/>
      <c r="J4" s="21">
        <v>18</v>
      </c>
      <c r="K4" s="21">
        <v>7</v>
      </c>
      <c r="L4" s="21"/>
      <c r="M4" s="21"/>
      <c r="N4" s="36">
        <f>IF(L4="N",E4*H4%+E4,(E4+E4*H4%)-((E4+E4*H4%)*I4%))</f>
        <v>571.62</v>
      </c>
      <c r="O4" s="36">
        <f>N4*J4%</f>
        <v>102.8916</v>
      </c>
      <c r="P4" s="36">
        <f>R4*K4%</f>
        <v>29.400000000000002</v>
      </c>
      <c r="Q4" s="36">
        <f>O4-P4</f>
        <v>73.491599999999991</v>
      </c>
      <c r="R4" s="36">
        <f>E4-G4</f>
        <v>420</v>
      </c>
      <c r="S4" s="28">
        <v>0</v>
      </c>
      <c r="T4" s="36">
        <f>Q4-S4</f>
        <v>73.491599999999991</v>
      </c>
    </row>
    <row r="5" spans="1:20" x14ac:dyDescent="0.2">
      <c r="A5" s="26">
        <v>2</v>
      </c>
      <c r="B5" s="34">
        <v>43615</v>
      </c>
      <c r="C5" s="34">
        <v>43610</v>
      </c>
      <c r="D5" s="20">
        <v>13213</v>
      </c>
      <c r="E5" s="21">
        <v>11002.47</v>
      </c>
      <c r="F5" s="21">
        <v>11002.47</v>
      </c>
      <c r="G5" s="21"/>
      <c r="H5" s="21">
        <v>47.44</v>
      </c>
      <c r="I5" s="21"/>
      <c r="J5" s="21">
        <v>18</v>
      </c>
      <c r="K5" s="21">
        <v>12</v>
      </c>
      <c r="L5" s="21"/>
      <c r="M5" s="21"/>
      <c r="N5" s="36">
        <f t="shared" ref="N5:N38" si="0">IF(L5="N",E5*H5%+E5,(E5+E5*H5%)-((E5+E5*H5%)*I5%))</f>
        <v>16222.041767999999</v>
      </c>
      <c r="O5" s="36">
        <f t="shared" ref="O5:O38" si="1">N5*J5%</f>
        <v>2919.9675182399997</v>
      </c>
      <c r="P5" s="36">
        <f t="shared" ref="P5:P38" si="2">R5*K5%</f>
        <v>1320.2963999999999</v>
      </c>
      <c r="Q5" s="36">
        <f t="shared" ref="Q5:Q38" si="3">O5-P5</f>
        <v>1599.6711182399997</v>
      </c>
      <c r="R5" s="36">
        <f t="shared" ref="R5:R38" si="4">E5-G5</f>
        <v>11002.47</v>
      </c>
      <c r="S5" s="28">
        <v>1529.07</v>
      </c>
      <c r="T5" s="36">
        <f t="shared" ref="T5:T38" si="5">Q5-S5</f>
        <v>70.601118239999778</v>
      </c>
    </row>
    <row r="6" spans="1:20" x14ac:dyDescent="0.2">
      <c r="A6" s="26">
        <v>3</v>
      </c>
      <c r="B6" s="34"/>
      <c r="C6" s="34"/>
      <c r="D6" s="20"/>
      <c r="E6" s="21">
        <v>261.94</v>
      </c>
      <c r="F6" s="21">
        <v>261.94</v>
      </c>
      <c r="G6" s="21"/>
      <c r="H6" s="21">
        <v>52.2</v>
      </c>
      <c r="I6" s="21"/>
      <c r="J6" s="21">
        <v>18</v>
      </c>
      <c r="K6" s="21">
        <v>4</v>
      </c>
      <c r="L6" s="21"/>
      <c r="M6" s="21"/>
      <c r="N6" s="36">
        <f t="shared" si="0"/>
        <v>398.67268000000001</v>
      </c>
      <c r="O6" s="36">
        <f t="shared" si="1"/>
        <v>71.761082400000006</v>
      </c>
      <c r="P6" s="36">
        <f t="shared" si="2"/>
        <v>10.477600000000001</v>
      </c>
      <c r="Q6" s="36">
        <f t="shared" si="3"/>
        <v>61.283482400000004</v>
      </c>
      <c r="R6" s="36">
        <f t="shared" si="4"/>
        <v>261.94</v>
      </c>
      <c r="S6" s="28">
        <v>0</v>
      </c>
      <c r="T6" s="36">
        <f t="shared" si="5"/>
        <v>61.283482400000004</v>
      </c>
    </row>
    <row r="7" spans="1:20" x14ac:dyDescent="0.2">
      <c r="A7" s="26">
        <v>4</v>
      </c>
      <c r="B7" s="34"/>
      <c r="C7" s="34"/>
      <c r="D7" s="20"/>
      <c r="E7" s="21">
        <v>97.43</v>
      </c>
      <c r="F7" s="21">
        <v>97.43</v>
      </c>
      <c r="G7" s="21"/>
      <c r="H7" s="21">
        <v>28.78</v>
      </c>
      <c r="I7" s="21"/>
      <c r="J7" s="21">
        <v>18</v>
      </c>
      <c r="K7" s="21">
        <v>12</v>
      </c>
      <c r="L7" s="21"/>
      <c r="M7" s="21"/>
      <c r="N7" s="36">
        <f t="shared" si="0"/>
        <v>125.47035400000001</v>
      </c>
      <c r="O7" s="36">
        <f t="shared" si="1"/>
        <v>22.584663720000002</v>
      </c>
      <c r="P7" s="36">
        <f t="shared" si="2"/>
        <v>11.691600000000001</v>
      </c>
      <c r="Q7" s="36">
        <f t="shared" si="3"/>
        <v>10.893063720000001</v>
      </c>
      <c r="R7" s="36">
        <f t="shared" si="4"/>
        <v>97.43</v>
      </c>
      <c r="S7" s="28">
        <v>0</v>
      </c>
      <c r="T7" s="36">
        <f t="shared" si="5"/>
        <v>10.893063720000001</v>
      </c>
    </row>
    <row r="8" spans="1:20" x14ac:dyDescent="0.2">
      <c r="A8" s="26">
        <v>5</v>
      </c>
      <c r="B8" s="34">
        <v>43616</v>
      </c>
      <c r="C8" s="34">
        <v>43608</v>
      </c>
      <c r="D8" s="20">
        <v>372539</v>
      </c>
      <c r="E8" s="21">
        <v>504</v>
      </c>
      <c r="F8" s="21">
        <v>504</v>
      </c>
      <c r="G8" s="21"/>
      <c r="H8" s="21">
        <v>36.1</v>
      </c>
      <c r="I8" s="21"/>
      <c r="J8" s="21">
        <v>18</v>
      </c>
      <c r="K8" s="21">
        <v>7</v>
      </c>
      <c r="L8" s="21"/>
      <c r="M8" s="21"/>
      <c r="N8" s="36">
        <f t="shared" si="0"/>
        <v>685.94399999999996</v>
      </c>
      <c r="O8" s="36">
        <f t="shared" si="1"/>
        <v>123.46991999999999</v>
      </c>
      <c r="P8" s="36">
        <f t="shared" si="2"/>
        <v>35.28</v>
      </c>
      <c r="Q8" s="36">
        <f t="shared" si="3"/>
        <v>88.189919999999987</v>
      </c>
      <c r="R8" s="36">
        <f t="shared" si="4"/>
        <v>504</v>
      </c>
      <c r="S8" s="28">
        <v>0</v>
      </c>
      <c r="T8" s="36">
        <f t="shared" si="5"/>
        <v>88.189919999999987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12285.84</v>
      </c>
      <c r="F39" s="36">
        <f>SUM(F4:F38)</f>
        <v>12285.84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18003.748801999998</v>
      </c>
      <c r="O39" s="36">
        <f>SUM(O4:O38)</f>
        <v>3240.6747843599996</v>
      </c>
      <c r="P39" s="36">
        <f>SUM(P4:P38)</f>
        <v>1407.1456000000001</v>
      </c>
      <c r="Q39" s="36">
        <f>SUM(Q4:Q38)</f>
        <v>1833.5291843599998</v>
      </c>
      <c r="R39" s="36"/>
      <c r="S39" s="36">
        <f>SUM(S4:S38)</f>
        <v>1529.07</v>
      </c>
      <c r="T39" s="36">
        <f>SUM(T4:T38)</f>
        <v>304.45918435999977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F30E-DF48-4B33-9121-404B15C5EF2F}">
  <dimension ref="A1:T39"/>
  <sheetViews>
    <sheetView zoomScaleNormal="100" workbookViewId="0">
      <selection activeCell="K6" sqref="K6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42578125" style="1" customWidth="1"/>
    <col min="12" max="12" width="5.7109375" style="1" customWidth="1"/>
    <col min="13" max="13" width="6.140625" style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25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43699</v>
      </c>
      <c r="C4" s="34">
        <v>43685</v>
      </c>
      <c r="D4" s="20">
        <v>412549</v>
      </c>
      <c r="E4" s="21">
        <v>504</v>
      </c>
      <c r="F4" s="21">
        <v>504</v>
      </c>
      <c r="G4" s="21"/>
      <c r="H4" s="21">
        <v>36.1</v>
      </c>
      <c r="I4" s="21"/>
      <c r="J4" s="21">
        <v>18</v>
      </c>
      <c r="K4" s="21">
        <v>7</v>
      </c>
      <c r="L4" s="21"/>
      <c r="M4" s="21"/>
      <c r="N4" s="36">
        <f>IF(L4="N",E4*H4%+E4,(E4+E4*H4%)-((E4+E4*H4%)*I4%))</f>
        <v>685.94399999999996</v>
      </c>
      <c r="O4" s="36">
        <f>N4*J4%</f>
        <v>123.46991999999999</v>
      </c>
      <c r="P4" s="36">
        <f>R4*K4%</f>
        <v>35.28</v>
      </c>
      <c r="Q4" s="36">
        <f>O4-P4</f>
        <v>88.189919999999987</v>
      </c>
      <c r="R4" s="36">
        <f>E4-G4</f>
        <v>504</v>
      </c>
      <c r="S4" s="28">
        <v>0</v>
      </c>
      <c r="T4" s="36">
        <f>Q4-S4</f>
        <v>88.189919999999987</v>
      </c>
    </row>
    <row r="5" spans="1:20" x14ac:dyDescent="0.2">
      <c r="A5" s="26">
        <v>2</v>
      </c>
      <c r="B5" s="34">
        <v>43704</v>
      </c>
      <c r="C5" s="34">
        <v>43699</v>
      </c>
      <c r="D5" s="20">
        <v>419882</v>
      </c>
      <c r="E5" s="21">
        <v>504</v>
      </c>
      <c r="F5" s="21">
        <v>504</v>
      </c>
      <c r="G5" s="21"/>
      <c r="H5" s="21">
        <v>36.1</v>
      </c>
      <c r="I5" s="21"/>
      <c r="J5" s="21">
        <v>18</v>
      </c>
      <c r="K5" s="21">
        <v>7</v>
      </c>
      <c r="L5" s="21"/>
      <c r="M5" s="21"/>
      <c r="N5" s="36">
        <f t="shared" ref="N5:N38" si="0">IF(L5="N",E5*H5%+E5,(E5+E5*H5%)-((E5+E5*H5%)*I5%))</f>
        <v>685.94399999999996</v>
      </c>
      <c r="O5" s="36">
        <f t="shared" ref="O5:O38" si="1">N5*J5%</f>
        <v>123.46991999999999</v>
      </c>
      <c r="P5" s="36">
        <f t="shared" ref="P5:P38" si="2">R5*K5%</f>
        <v>35.28</v>
      </c>
      <c r="Q5" s="36">
        <f t="shared" ref="Q5:Q38" si="3">O5-P5</f>
        <v>88.189919999999987</v>
      </c>
      <c r="R5" s="36">
        <f t="shared" ref="R5:R38" si="4">E5-G5</f>
        <v>504</v>
      </c>
      <c r="S5" s="28">
        <v>0</v>
      </c>
      <c r="T5" s="36">
        <f t="shared" ref="T5:T38" si="5">Q5-S5</f>
        <v>88.189919999999987</v>
      </c>
    </row>
    <row r="6" spans="1:20" x14ac:dyDescent="0.2">
      <c r="A6" s="26">
        <v>3</v>
      </c>
      <c r="B6" s="34">
        <v>43706</v>
      </c>
      <c r="C6" s="34">
        <v>43691</v>
      </c>
      <c r="D6" s="20">
        <v>3721</v>
      </c>
      <c r="E6" s="21">
        <v>86.84</v>
      </c>
      <c r="F6" s="21">
        <v>86.84</v>
      </c>
      <c r="G6" s="21"/>
      <c r="H6" s="21">
        <v>23.87</v>
      </c>
      <c r="I6" s="21"/>
      <c r="J6" s="21">
        <v>7</v>
      </c>
      <c r="K6" s="21">
        <v>4</v>
      </c>
      <c r="L6" s="21"/>
      <c r="M6" s="21"/>
      <c r="N6" s="36">
        <f t="shared" si="0"/>
        <v>107.56870800000002</v>
      </c>
      <c r="O6" s="36">
        <f t="shared" si="1"/>
        <v>7.5298095600000021</v>
      </c>
      <c r="P6" s="36">
        <f t="shared" si="2"/>
        <v>3.4736000000000002</v>
      </c>
      <c r="Q6" s="36">
        <f t="shared" si="3"/>
        <v>4.0562095600000019</v>
      </c>
      <c r="R6" s="36">
        <f t="shared" si="4"/>
        <v>86.84</v>
      </c>
      <c r="S6" s="28">
        <v>0</v>
      </c>
      <c r="T6" s="36">
        <f t="shared" si="5"/>
        <v>4.0562095600000019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1094.8399999999999</v>
      </c>
      <c r="F39" s="36">
        <f>SUM(F4:F38)</f>
        <v>1094.8399999999999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1479.4567079999999</v>
      </c>
      <c r="O39" s="36">
        <f>SUM(O4:O38)</f>
        <v>254.46964955999997</v>
      </c>
      <c r="P39" s="36">
        <f>SUM(P4:P38)</f>
        <v>74.033600000000007</v>
      </c>
      <c r="Q39" s="36">
        <f>SUM(Q4:Q38)</f>
        <v>180.43604955999999</v>
      </c>
      <c r="R39" s="36"/>
      <c r="S39" s="36">
        <f>SUM(S4:S38)</f>
        <v>0</v>
      </c>
      <c r="T39" s="36">
        <f>SUM(T4:T38)</f>
        <v>180.43604955999999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13234-5C71-4BA4-BB68-DBDEA555AAA1}">
  <dimension ref="A1:T39"/>
  <sheetViews>
    <sheetView zoomScaleNormal="100" workbookViewId="0">
      <selection activeCell="L4" sqref="L4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42578125" style="1" customWidth="1"/>
    <col min="12" max="12" width="5.7109375" style="1" customWidth="1"/>
    <col min="13" max="13" width="6.140625" style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43734</v>
      </c>
      <c r="C4" s="34">
        <v>43718</v>
      </c>
      <c r="D4" s="20">
        <v>43453</v>
      </c>
      <c r="E4" s="21">
        <v>353.7</v>
      </c>
      <c r="F4" s="21">
        <v>353.7</v>
      </c>
      <c r="G4" s="21"/>
      <c r="H4" s="21">
        <v>47.44</v>
      </c>
      <c r="I4" s="21"/>
      <c r="J4" s="21">
        <v>18</v>
      </c>
      <c r="K4" s="21">
        <v>7</v>
      </c>
      <c r="L4" s="21"/>
      <c r="M4" s="21"/>
      <c r="N4" s="36">
        <f>IF(L4="N",E4*H4%+E4,(E4+E4*H4%)-((E4+E4*H4%)*I4%))</f>
        <v>521.49527999999998</v>
      </c>
      <c r="O4" s="36">
        <f>N4*J4%</f>
        <v>93.869150399999995</v>
      </c>
      <c r="P4" s="36">
        <f>R4*K4%</f>
        <v>24.759</v>
      </c>
      <c r="Q4" s="36">
        <f>O4-P4</f>
        <v>69.110150399999995</v>
      </c>
      <c r="R4" s="36">
        <f>E4-G4</f>
        <v>353.7</v>
      </c>
      <c r="S4" s="28">
        <v>0</v>
      </c>
      <c r="T4" s="36">
        <f>Q4-S4</f>
        <v>69.110150399999995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353.7</v>
      </c>
      <c r="F39" s="36">
        <f>SUM(F4:F38)</f>
        <v>353.7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521.49527999999998</v>
      </c>
      <c r="O39" s="36">
        <f>SUM(O4:O38)</f>
        <v>93.869150399999995</v>
      </c>
      <c r="P39" s="36">
        <f>SUM(P4:P38)</f>
        <v>24.759</v>
      </c>
      <c r="Q39" s="36">
        <f>SUM(Q4:Q38)</f>
        <v>69.110150399999995</v>
      </c>
      <c r="R39" s="36"/>
      <c r="S39" s="36">
        <f>SUM(S4:S38)</f>
        <v>0</v>
      </c>
      <c r="T39" s="36">
        <f>SUM(T4:T38)</f>
        <v>69.110150399999995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3EC96-8537-4C90-A032-41FDAD6E464E}">
  <dimension ref="A1:T39"/>
  <sheetViews>
    <sheetView zoomScaleNormal="100" workbookViewId="0">
      <selection activeCell="I11" sqref="I11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42578125" style="1" customWidth="1"/>
    <col min="12" max="12" width="5.7109375" style="1" customWidth="1"/>
    <col min="13" max="13" width="6.140625" style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27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43755</v>
      </c>
      <c r="C4" s="34">
        <v>43742</v>
      </c>
      <c r="D4" s="20">
        <v>98681</v>
      </c>
      <c r="E4" s="21">
        <v>280.33999999999997</v>
      </c>
      <c r="F4" s="21">
        <v>380.34</v>
      </c>
      <c r="G4" s="21"/>
      <c r="H4" s="21">
        <v>47.44</v>
      </c>
      <c r="I4" s="21"/>
      <c r="J4" s="21">
        <v>18</v>
      </c>
      <c r="K4" s="21">
        <v>7</v>
      </c>
      <c r="L4" s="21"/>
      <c r="M4" s="21"/>
      <c r="N4" s="36">
        <f>IF(L4="N",E4*H4%+E4,(E4+E4*H4%)-((E4+E4*H4%)*I4%))</f>
        <v>413.33329599999996</v>
      </c>
      <c r="O4" s="36">
        <f>N4*J4%</f>
        <v>74.39999327999999</v>
      </c>
      <c r="P4" s="36">
        <f>R4*K4%</f>
        <v>19.623799999999999</v>
      </c>
      <c r="Q4" s="36">
        <f>O4-P4</f>
        <v>54.776193279999987</v>
      </c>
      <c r="R4" s="36">
        <f>E4-G4</f>
        <v>280.33999999999997</v>
      </c>
      <c r="S4" s="28">
        <v>0</v>
      </c>
      <c r="T4" s="36">
        <f>Q4-S4</f>
        <v>54.776193279999987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280.33999999999997</v>
      </c>
      <c r="F39" s="36">
        <f>SUM(F4:F38)</f>
        <v>380.34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413.33329599999996</v>
      </c>
      <c r="O39" s="36">
        <f>SUM(O4:O38)</f>
        <v>74.39999327999999</v>
      </c>
      <c r="P39" s="36">
        <f>SUM(P4:P38)</f>
        <v>19.623799999999999</v>
      </c>
      <c r="Q39" s="36">
        <f>SUM(Q4:Q38)</f>
        <v>54.776193279999987</v>
      </c>
      <c r="R39" s="36"/>
      <c r="S39" s="36">
        <f>SUM(S4:S38)</f>
        <v>0</v>
      </c>
      <c r="T39" s="36">
        <f>SUM(T4:T38)</f>
        <v>54.776193279999987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B18-EC4E-487D-9862-CF323CF151A9}">
  <dimension ref="A1:T39"/>
  <sheetViews>
    <sheetView topLeftCell="C1" zoomScaleNormal="100" workbookViewId="0">
      <selection activeCell="L4" sqref="L4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28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44132</v>
      </c>
      <c r="C4" s="34">
        <v>44105</v>
      </c>
      <c r="D4" s="20">
        <v>164279</v>
      </c>
      <c r="E4" s="21">
        <v>6.94</v>
      </c>
      <c r="F4" s="21">
        <v>6.94</v>
      </c>
      <c r="G4" s="21"/>
      <c r="H4" s="21">
        <v>129.1</v>
      </c>
      <c r="I4" s="21"/>
      <c r="J4" s="21">
        <v>18</v>
      </c>
      <c r="K4" s="21">
        <v>7</v>
      </c>
      <c r="L4" s="21"/>
      <c r="M4" s="21"/>
      <c r="N4" s="36">
        <f>IF(L4="N",E4*H4%+E4,(E4+E4*H4%)-((E4+E4*H4%)*I4%))</f>
        <v>15.899540000000002</v>
      </c>
      <c r="O4" s="36">
        <f>N4*J4%</f>
        <v>2.8619172000000002</v>
      </c>
      <c r="P4" s="36">
        <f>R4*K4%</f>
        <v>0.48580000000000007</v>
      </c>
      <c r="Q4" s="36">
        <f>O4-P4</f>
        <v>2.3761171999999999</v>
      </c>
      <c r="R4" s="36">
        <f>E4-G4</f>
        <v>6.94</v>
      </c>
      <c r="S4" s="28">
        <v>0</v>
      </c>
      <c r="T4" s="36">
        <f>Q4-S4</f>
        <v>2.3761171999999999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6.94</v>
      </c>
      <c r="F39" s="36">
        <f>SUM(F4:F38)</f>
        <v>6.94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15.899540000000002</v>
      </c>
      <c r="O39" s="36">
        <f>SUM(O4:O38)</f>
        <v>2.8619172000000002</v>
      </c>
      <c r="P39" s="36">
        <f>SUM(P4:P38)</f>
        <v>0.48580000000000007</v>
      </c>
      <c r="Q39" s="36">
        <f>SUM(Q4:Q38)</f>
        <v>2.3761171999999999</v>
      </c>
      <c r="R39" s="36"/>
      <c r="S39" s="36">
        <f>SUM(S4:S38)</f>
        <v>0</v>
      </c>
      <c r="T39" s="36">
        <f>SUM(T4:T38)</f>
        <v>2.3761171999999999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943FD-D097-4597-8EDC-B692A189A26A}">
  <dimension ref="A1:T39"/>
  <sheetViews>
    <sheetView topLeftCell="B1" zoomScaleNormal="100" workbookViewId="0">
      <selection activeCell="K4" sqref="K4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29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44215</v>
      </c>
      <c r="C4" s="34">
        <v>44203</v>
      </c>
      <c r="D4" s="20">
        <v>381765</v>
      </c>
      <c r="E4" s="21">
        <v>519.12</v>
      </c>
      <c r="F4" s="21">
        <v>519.12</v>
      </c>
      <c r="G4" s="21"/>
      <c r="H4" s="21">
        <v>23.87</v>
      </c>
      <c r="I4" s="21"/>
      <c r="J4" s="21">
        <v>7</v>
      </c>
      <c r="K4" s="21">
        <v>4</v>
      </c>
      <c r="L4" s="21"/>
      <c r="M4" s="21"/>
      <c r="N4" s="36">
        <f>IF(L4="N",E4*H4%+E4,(E4+E4*H4%)-((E4+E4*H4%)*I4%))</f>
        <v>643.03394400000002</v>
      </c>
      <c r="O4" s="36">
        <f>N4*J4%</f>
        <v>45.012376080000003</v>
      </c>
      <c r="P4" s="36">
        <f>R4*K4%</f>
        <v>20.764800000000001</v>
      </c>
      <c r="Q4" s="36">
        <f>O4-P4</f>
        <v>24.247576080000002</v>
      </c>
      <c r="R4" s="36">
        <f>E4-G4</f>
        <v>519.12</v>
      </c>
      <c r="S4" s="28">
        <v>0</v>
      </c>
      <c r="T4" s="36">
        <f>Q4-S4</f>
        <v>24.247576080000002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519.12</v>
      </c>
      <c r="F39" s="36">
        <f>SUM(F4:F38)</f>
        <v>519.12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643.03394400000002</v>
      </c>
      <c r="O39" s="36">
        <f>SUM(O4:O38)</f>
        <v>45.012376080000003</v>
      </c>
      <c r="P39" s="36">
        <f>SUM(P4:P38)</f>
        <v>20.764800000000001</v>
      </c>
      <c r="Q39" s="36">
        <f>SUM(Q4:Q38)</f>
        <v>24.247576080000002</v>
      </c>
      <c r="R39" s="36"/>
      <c r="S39" s="36">
        <f>SUM(S4:S38)</f>
        <v>0</v>
      </c>
      <c r="T39" s="36">
        <f>SUM(T4:T38)</f>
        <v>24.247576080000002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5FA87-B2AB-4A98-B5E5-8EF40DE69A18}">
  <dimension ref="A1:T39"/>
  <sheetViews>
    <sheetView zoomScaleNormal="100" workbookViewId="0">
      <selection activeCell="E9" sqref="E9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44606</v>
      </c>
      <c r="C4" s="34">
        <v>44600</v>
      </c>
      <c r="D4" s="20">
        <v>1437004</v>
      </c>
      <c r="E4" s="21">
        <v>752.1</v>
      </c>
      <c r="F4" s="21">
        <v>752.1</v>
      </c>
      <c r="G4" s="21"/>
      <c r="H4" s="21">
        <v>39.51</v>
      </c>
      <c r="I4" s="21"/>
      <c r="J4" s="21">
        <v>18</v>
      </c>
      <c r="K4" s="21">
        <v>12</v>
      </c>
      <c r="L4" s="21"/>
      <c r="M4" s="21"/>
      <c r="N4" s="36">
        <f>IF(L4="N",E4*H4%+E4,(E4+E4*H4%)-((E4+E4*H4%)*I4%))</f>
        <v>1049.2547100000002</v>
      </c>
      <c r="O4" s="36">
        <f>N4*J4%</f>
        <v>188.86584780000001</v>
      </c>
      <c r="P4" s="36">
        <f>R4*K4%</f>
        <v>90.251999999999995</v>
      </c>
      <c r="Q4" s="36">
        <f>O4-P4</f>
        <v>98.613847800000016</v>
      </c>
      <c r="R4" s="36">
        <f>E4-G4</f>
        <v>752.1</v>
      </c>
      <c r="S4" s="28">
        <v>0</v>
      </c>
      <c r="T4" s="36">
        <f>Q4-S4</f>
        <v>98.613847800000016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752.1</v>
      </c>
      <c r="F39" s="36">
        <f>SUM(F4:F38)</f>
        <v>752.1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1049.2547100000002</v>
      </c>
      <c r="O39" s="36">
        <f>SUM(O4:O38)</f>
        <v>188.86584780000001</v>
      </c>
      <c r="P39" s="36">
        <f>SUM(P4:P38)</f>
        <v>90.251999999999995</v>
      </c>
      <c r="Q39" s="36">
        <f>SUM(Q4:Q38)</f>
        <v>98.613847800000016</v>
      </c>
      <c r="R39" s="36"/>
      <c r="S39" s="36">
        <f>SUM(S4:S38)</f>
        <v>0</v>
      </c>
      <c r="T39" s="36">
        <f>SUM(T4:T38)</f>
        <v>98.613847800000016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8B45-75A4-4949-B24E-DDB879639B29}">
  <dimension ref="A1:T39"/>
  <sheetViews>
    <sheetView zoomScaleNormal="100" workbookViewId="0">
      <selection activeCell="G27" sqref="G27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45896</v>
      </c>
      <c r="C4" s="34">
        <v>45877</v>
      </c>
      <c r="D4" s="20">
        <v>62156</v>
      </c>
      <c r="E4" s="21">
        <v>82.92</v>
      </c>
      <c r="F4" s="21">
        <v>82.92</v>
      </c>
      <c r="G4" s="21"/>
      <c r="H4" s="21">
        <v>40.380000000000003</v>
      </c>
      <c r="I4" s="21"/>
      <c r="J4" s="21">
        <v>20.5</v>
      </c>
      <c r="K4" s="21">
        <v>7</v>
      </c>
      <c r="L4" s="21"/>
      <c r="M4" s="21"/>
      <c r="N4" s="36">
        <f>IF(L4="N",E4*H4%+E4,(E4+E4*H4%)-((E4+E4*H4%)*I4%))</f>
        <v>116.40309600000001</v>
      </c>
      <c r="O4" s="36">
        <f>N4*J4%</f>
        <v>23.862634679999999</v>
      </c>
      <c r="P4" s="36">
        <f>R4*K4%</f>
        <v>5.8044000000000011</v>
      </c>
      <c r="Q4" s="36">
        <f>O4-P4</f>
        <v>18.058234679999998</v>
      </c>
      <c r="R4" s="36">
        <f>E4-G4</f>
        <v>82.92</v>
      </c>
      <c r="S4" s="28">
        <v>0</v>
      </c>
      <c r="T4" s="36">
        <f>Q4-S4</f>
        <v>18.058234679999998</v>
      </c>
    </row>
    <row r="5" spans="1:20" x14ac:dyDescent="0.2">
      <c r="A5" s="26">
        <v>2</v>
      </c>
      <c r="B5" s="34"/>
      <c r="C5" s="34"/>
      <c r="D5" s="20"/>
      <c r="E5" s="21"/>
      <c r="F5" s="21"/>
      <c r="G5" s="21"/>
      <c r="H5" s="21"/>
      <c r="I5" s="21"/>
      <c r="J5" s="21"/>
      <c r="K5" s="21"/>
      <c r="L5" s="21"/>
      <c r="M5" s="21"/>
      <c r="N5" s="36">
        <f t="shared" ref="N5:N38" si="0">IF(L5="N",E5*H5%+E5,(E5+E5*H5%)-((E5+E5*H5%)*I5%))</f>
        <v>0</v>
      </c>
      <c r="O5" s="36">
        <f t="shared" ref="O5:O38" si="1">N5*J5%</f>
        <v>0</v>
      </c>
      <c r="P5" s="36">
        <f t="shared" ref="P5:P38" si="2">R5*K5%</f>
        <v>0</v>
      </c>
      <c r="Q5" s="36">
        <f t="shared" ref="Q5:Q38" si="3">O5-P5</f>
        <v>0</v>
      </c>
      <c r="R5" s="36">
        <f t="shared" ref="R5:R38" si="4">E5-G5</f>
        <v>0</v>
      </c>
      <c r="S5" s="28">
        <v>0</v>
      </c>
      <c r="T5" s="36">
        <f t="shared" ref="T5:T38" si="5">Q5-S5</f>
        <v>0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/>
      <c r="I6" s="21"/>
      <c r="J6" s="21"/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82.92</v>
      </c>
      <c r="F39" s="36">
        <f>SUM(F4:F38)</f>
        <v>82.92</v>
      </c>
      <c r="G39" s="36">
        <f>SUM(G4:G38)</f>
        <v>0</v>
      </c>
      <c r="H39" s="21"/>
      <c r="I39" s="21"/>
      <c r="J39" s="22"/>
      <c r="K39" s="22"/>
      <c r="L39" s="22"/>
      <c r="M39" s="22"/>
      <c r="N39" s="36">
        <f>SUM(N4:N38)</f>
        <v>116.40309600000001</v>
      </c>
      <c r="O39" s="36">
        <f>SUM(O4:O38)</f>
        <v>23.862634679999999</v>
      </c>
      <c r="P39" s="36">
        <f>SUM(P4:P38)</f>
        <v>5.8044000000000011</v>
      </c>
      <c r="Q39" s="36">
        <f>SUM(Q4:Q38)</f>
        <v>18.058234679999998</v>
      </c>
      <c r="R39" s="36"/>
      <c r="S39" s="36">
        <f>SUM(S4:S38)</f>
        <v>0</v>
      </c>
      <c r="T39" s="36">
        <f>SUM(T4:T38)</f>
        <v>18.058234679999998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711F0-379F-446D-9C34-7A1CE39290C2}">
  <dimension ref="A1:T39"/>
  <sheetViews>
    <sheetView zoomScaleNormal="100" workbookViewId="0">
      <selection activeCell="D5" sqref="D5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32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46014</v>
      </c>
      <c r="C4" s="34">
        <v>46008</v>
      </c>
      <c r="D4" s="20">
        <v>31490</v>
      </c>
      <c r="E4" s="21">
        <v>2975.89</v>
      </c>
      <c r="F4" s="21">
        <v>2794.25</v>
      </c>
      <c r="G4" s="21">
        <v>181.64</v>
      </c>
      <c r="H4" s="21">
        <v>64.39</v>
      </c>
      <c r="I4" s="21"/>
      <c r="J4" s="21">
        <v>25</v>
      </c>
      <c r="K4" s="21">
        <v>7</v>
      </c>
      <c r="L4" s="21"/>
      <c r="M4" s="21"/>
      <c r="N4" s="36">
        <f>IF(L4="N",E4*H4%+E4,(E4+E4*H4%)-((E4+E4*H4%)*I4%))</f>
        <v>4892.0655710000001</v>
      </c>
      <c r="O4" s="36">
        <f>N4*J4%</f>
        <v>1223.01639275</v>
      </c>
      <c r="P4" s="36">
        <f>R4*K4%</f>
        <v>195.59750000000003</v>
      </c>
      <c r="Q4" s="36">
        <f>O4-P4</f>
        <v>1027.4188927499999</v>
      </c>
      <c r="R4" s="36">
        <f>E4-G4</f>
        <v>2794.25</v>
      </c>
      <c r="S4" s="28">
        <v>0</v>
      </c>
      <c r="T4" s="36">
        <f>Q4-S4</f>
        <v>1027.4188927499999</v>
      </c>
    </row>
    <row r="5" spans="1:20" x14ac:dyDescent="0.2">
      <c r="A5" s="26">
        <v>2</v>
      </c>
      <c r="B5" s="34">
        <v>46014</v>
      </c>
      <c r="C5" s="34">
        <v>46008</v>
      </c>
      <c r="D5" s="20">
        <v>30635</v>
      </c>
      <c r="E5" s="21">
        <v>328.51</v>
      </c>
      <c r="F5" s="21">
        <v>328.51</v>
      </c>
      <c r="G5" s="21"/>
      <c r="H5" s="21">
        <v>64.39</v>
      </c>
      <c r="I5" s="21"/>
      <c r="J5" s="21">
        <v>25</v>
      </c>
      <c r="K5" s="21">
        <v>7</v>
      </c>
      <c r="L5" s="21"/>
      <c r="M5" s="21"/>
      <c r="N5" s="36">
        <f t="shared" ref="N5:N38" si="0">IF(L5="N",E5*H5%+E5,(E5+E5*H5%)-((E5+E5*H5%)*I5%))</f>
        <v>540.03758900000003</v>
      </c>
      <c r="O5" s="36">
        <f t="shared" ref="O5:O38" si="1">N5*J5%</f>
        <v>135.00939725000001</v>
      </c>
      <c r="P5" s="36">
        <f t="shared" ref="P5:P38" si="2">R5*K5%</f>
        <v>22.995700000000003</v>
      </c>
      <c r="Q5" s="36">
        <f t="shared" ref="Q5:Q38" si="3">O5-P5</f>
        <v>112.01369725000001</v>
      </c>
      <c r="R5" s="36">
        <f t="shared" ref="R5:R38" si="4">E5-G5</f>
        <v>328.51</v>
      </c>
      <c r="S5" s="28">
        <v>0</v>
      </c>
      <c r="T5" s="36">
        <f t="shared" ref="T5:T38" si="5">Q5-S5</f>
        <v>112.01369725000001</v>
      </c>
    </row>
    <row r="6" spans="1:20" x14ac:dyDescent="0.2">
      <c r="A6" s="26">
        <v>3</v>
      </c>
      <c r="B6" s="34">
        <v>46014</v>
      </c>
      <c r="C6" s="34">
        <v>46008</v>
      </c>
      <c r="D6" s="20">
        <v>31491</v>
      </c>
      <c r="E6" s="21">
        <v>207.5</v>
      </c>
      <c r="F6" s="21">
        <v>207.5</v>
      </c>
      <c r="G6" s="21"/>
      <c r="H6" s="21">
        <v>64.39</v>
      </c>
      <c r="I6" s="21"/>
      <c r="J6" s="21">
        <v>25</v>
      </c>
      <c r="K6" s="21">
        <v>7</v>
      </c>
      <c r="L6" s="21"/>
      <c r="M6" s="21"/>
      <c r="N6" s="36">
        <f t="shared" si="0"/>
        <v>341.10924999999997</v>
      </c>
      <c r="O6" s="36">
        <f t="shared" si="1"/>
        <v>85.277312499999994</v>
      </c>
      <c r="P6" s="36">
        <f t="shared" si="2"/>
        <v>14.525000000000002</v>
      </c>
      <c r="Q6" s="36">
        <f t="shared" si="3"/>
        <v>70.752312499999988</v>
      </c>
      <c r="R6" s="36">
        <f t="shared" si="4"/>
        <v>207.5</v>
      </c>
      <c r="S6" s="28">
        <v>0</v>
      </c>
      <c r="T6" s="36">
        <f t="shared" si="5"/>
        <v>70.752312499999988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3511.8999999999996</v>
      </c>
      <c r="F39" s="36">
        <f>SUM(F4:F38)</f>
        <v>3330.26</v>
      </c>
      <c r="G39" s="36">
        <f>SUM(G4:G38)</f>
        <v>181.64</v>
      </c>
      <c r="H39" s="21"/>
      <c r="I39" s="21"/>
      <c r="J39" s="22"/>
      <c r="K39" s="22"/>
      <c r="L39" s="22"/>
      <c r="M39" s="22"/>
      <c r="N39" s="36">
        <f>SUM(N4:N38)</f>
        <v>5773.2124100000001</v>
      </c>
      <c r="O39" s="36">
        <f>SUM(O4:O38)</f>
        <v>1443.3031025</v>
      </c>
      <c r="P39" s="36">
        <f>SUM(P4:P38)</f>
        <v>233.11820000000003</v>
      </c>
      <c r="Q39" s="36">
        <f>SUM(Q4:Q38)</f>
        <v>1210.1849024999999</v>
      </c>
      <c r="R39" s="36"/>
      <c r="S39" s="36">
        <f>SUM(S4:S38)</f>
        <v>0</v>
      </c>
      <c r="T39" s="36">
        <f>SUM(T4:T38)</f>
        <v>1210.1849024999999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F8224-1192-4B3A-B83B-58869466F4EF}">
  <dimension ref="A1:T39"/>
  <sheetViews>
    <sheetView zoomScaleNormal="100" workbookViewId="0">
      <selection activeCell="F16" sqref="F16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32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46014</v>
      </c>
      <c r="C4" s="34">
        <v>46008</v>
      </c>
      <c r="D4" s="20">
        <v>31490</v>
      </c>
      <c r="E4" s="21">
        <v>2795.89</v>
      </c>
      <c r="F4" s="21">
        <v>2794.25</v>
      </c>
      <c r="G4" s="21">
        <v>181.64</v>
      </c>
      <c r="H4" s="21">
        <v>64.39</v>
      </c>
      <c r="I4" s="21"/>
      <c r="J4" s="21">
        <v>2</v>
      </c>
      <c r="K4" s="21"/>
      <c r="L4" s="21"/>
      <c r="M4" s="21"/>
      <c r="N4" s="36">
        <f>IF(L4="N",E4*H4%+E4,(E4+E4*H4%)-((E4+E4*H4%)*I4%))</f>
        <v>4596.163571</v>
      </c>
      <c r="O4" s="36">
        <f>N4*J4%</f>
        <v>91.923271420000006</v>
      </c>
      <c r="P4" s="36">
        <f>R4*K4%</f>
        <v>0</v>
      </c>
      <c r="Q4" s="36">
        <f>O4-P4</f>
        <v>91.923271420000006</v>
      </c>
      <c r="R4" s="36">
        <f>E4-G4</f>
        <v>2614.25</v>
      </c>
      <c r="S4" s="28">
        <v>0</v>
      </c>
      <c r="T4" s="36">
        <f>Q4-S4</f>
        <v>91.923271420000006</v>
      </c>
    </row>
    <row r="5" spans="1:20" x14ac:dyDescent="0.2">
      <c r="A5" s="26">
        <v>2</v>
      </c>
      <c r="B5" s="34">
        <v>46014</v>
      </c>
      <c r="C5" s="34">
        <v>46008</v>
      </c>
      <c r="D5" s="20">
        <v>31491</v>
      </c>
      <c r="E5" s="21">
        <v>207.5</v>
      </c>
      <c r="F5" s="21">
        <v>207.5</v>
      </c>
      <c r="G5" s="21"/>
      <c r="H5" s="21">
        <v>64.39</v>
      </c>
      <c r="I5" s="21"/>
      <c r="J5" s="21">
        <v>2</v>
      </c>
      <c r="K5" s="21">
        <v>0</v>
      </c>
      <c r="L5" s="21"/>
      <c r="M5" s="21"/>
      <c r="N5" s="36">
        <f t="shared" ref="N5:N38" si="0">IF(L5="N",E5*H5%+E5,(E5+E5*H5%)-((E5+E5*H5%)*I5%))</f>
        <v>341.10924999999997</v>
      </c>
      <c r="O5" s="36">
        <f t="shared" ref="O5:O38" si="1">N5*J5%</f>
        <v>6.8221849999999993</v>
      </c>
      <c r="P5" s="36">
        <f t="shared" ref="P5:P38" si="2">R5*K5%</f>
        <v>0</v>
      </c>
      <c r="Q5" s="36">
        <f t="shared" ref="Q5:Q38" si="3">O5-P5</f>
        <v>6.8221849999999993</v>
      </c>
      <c r="R5" s="36">
        <f t="shared" ref="R5:R38" si="4">E5-G5</f>
        <v>207.5</v>
      </c>
      <c r="S5" s="28">
        <v>0</v>
      </c>
      <c r="T5" s="36">
        <f t="shared" ref="T5:T38" si="5">Q5-S5</f>
        <v>6.8221849999999993</v>
      </c>
    </row>
    <row r="6" spans="1:20" x14ac:dyDescent="0.2">
      <c r="A6" s="26">
        <v>3</v>
      </c>
      <c r="B6" s="34">
        <v>46014</v>
      </c>
      <c r="C6" s="34">
        <v>46008</v>
      </c>
      <c r="D6" s="20">
        <v>30635</v>
      </c>
      <c r="E6" s="21">
        <v>328.51</v>
      </c>
      <c r="F6" s="21">
        <v>328.51</v>
      </c>
      <c r="G6" s="21"/>
      <c r="H6" s="21">
        <v>64.39</v>
      </c>
      <c r="I6" s="21"/>
      <c r="J6" s="21">
        <v>2</v>
      </c>
      <c r="K6" s="21"/>
      <c r="L6" s="21"/>
      <c r="M6" s="21"/>
      <c r="N6" s="36">
        <f t="shared" si="0"/>
        <v>540.03758900000003</v>
      </c>
      <c r="O6" s="36">
        <f t="shared" si="1"/>
        <v>10.800751780000001</v>
      </c>
      <c r="P6" s="36">
        <f t="shared" si="2"/>
        <v>0</v>
      </c>
      <c r="Q6" s="36">
        <f t="shared" si="3"/>
        <v>10.800751780000001</v>
      </c>
      <c r="R6" s="36">
        <f t="shared" si="4"/>
        <v>328.51</v>
      </c>
      <c r="S6" s="28">
        <v>0</v>
      </c>
      <c r="T6" s="36">
        <f t="shared" si="5"/>
        <v>10.800751780000001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3331.8999999999996</v>
      </c>
      <c r="F39" s="36">
        <f>SUM(F4:F38)</f>
        <v>3330.26</v>
      </c>
      <c r="G39" s="36">
        <f>SUM(G4:G38)</f>
        <v>181.64</v>
      </c>
      <c r="H39" s="21"/>
      <c r="I39" s="21"/>
      <c r="J39" s="22"/>
      <c r="K39" s="22"/>
      <c r="L39" s="22"/>
      <c r="M39" s="22"/>
      <c r="N39" s="36">
        <f>SUM(N4:N38)</f>
        <v>5477.31041</v>
      </c>
      <c r="O39" s="36">
        <f>SUM(O4:O38)</f>
        <v>109.54620820000001</v>
      </c>
      <c r="P39" s="36">
        <f>SUM(P4:P38)</f>
        <v>0</v>
      </c>
      <c r="Q39" s="36">
        <f>SUM(Q4:Q38)</f>
        <v>109.54620820000001</v>
      </c>
      <c r="R39" s="36"/>
      <c r="S39" s="36">
        <f>SUM(S4:S38)</f>
        <v>0</v>
      </c>
      <c r="T39" s="36">
        <f>SUM(T4:T38)</f>
        <v>109.54620820000001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8EB8D-E42B-4F35-A3FA-374F0277D5CE}">
  <dimension ref="A1:T39"/>
  <sheetViews>
    <sheetView zoomScaleNormal="100" workbookViewId="0">
      <selection activeCell="G14" sqref="G14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9.28515625" style="3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46125</v>
      </c>
      <c r="C4" s="34">
        <v>46121</v>
      </c>
      <c r="D4" s="20">
        <v>33078</v>
      </c>
      <c r="E4" s="21">
        <v>1325.92</v>
      </c>
      <c r="F4" s="21">
        <v>1245</v>
      </c>
      <c r="G4" s="21">
        <v>80.92</v>
      </c>
      <c r="H4" s="21">
        <v>64.39</v>
      </c>
      <c r="I4" s="21"/>
      <c r="J4" s="21">
        <v>25</v>
      </c>
      <c r="K4" s="21">
        <v>7</v>
      </c>
      <c r="L4" s="21"/>
      <c r="M4" s="21"/>
      <c r="N4" s="36">
        <f>IF(L4="N",E4*H4%+E4,(E4+E4*H4%)-((E4+E4*H4%)*I4%))</f>
        <v>2179.6798880000001</v>
      </c>
      <c r="O4" s="36">
        <f>N4*J4%</f>
        <v>544.91997200000003</v>
      </c>
      <c r="P4" s="36">
        <f>R4*K4%</f>
        <v>87.15</v>
      </c>
      <c r="Q4" s="36">
        <f>O4-P4</f>
        <v>457.76997200000005</v>
      </c>
      <c r="R4" s="36">
        <f>E4-G4</f>
        <v>1245</v>
      </c>
      <c r="S4" s="28">
        <v>0</v>
      </c>
      <c r="T4" s="36">
        <f>Q4-S4</f>
        <v>457.76997200000005</v>
      </c>
    </row>
    <row r="5" spans="1:20" x14ac:dyDescent="0.2">
      <c r="A5" s="26">
        <v>2</v>
      </c>
      <c r="B5" s="34">
        <v>46125</v>
      </c>
      <c r="C5" s="34">
        <v>46121</v>
      </c>
      <c r="D5" s="20">
        <v>3293</v>
      </c>
      <c r="E5" s="21">
        <v>277.73</v>
      </c>
      <c r="F5" s="21">
        <v>277.73</v>
      </c>
      <c r="G5" s="21"/>
      <c r="H5" s="21">
        <v>64.39</v>
      </c>
      <c r="I5" s="21"/>
      <c r="J5" s="21">
        <v>25</v>
      </c>
      <c r="K5" s="21">
        <v>7</v>
      </c>
      <c r="L5" s="21"/>
      <c r="M5" s="21"/>
      <c r="N5" s="36">
        <f t="shared" ref="N5:N38" si="0">IF(L5="N",E5*H5%+E5,(E5+E5*H5%)-((E5+E5*H5%)*I5%))</f>
        <v>456.56034700000004</v>
      </c>
      <c r="O5" s="36">
        <f t="shared" ref="O5:O38" si="1">N5*J5%</f>
        <v>114.14008675000001</v>
      </c>
      <c r="P5" s="36">
        <f t="shared" ref="P5:P38" si="2">R5*K5%</f>
        <v>19.441100000000002</v>
      </c>
      <c r="Q5" s="36">
        <f t="shared" ref="Q5:Q38" si="3">O5-P5</f>
        <v>94.698986750000003</v>
      </c>
      <c r="R5" s="36">
        <f t="shared" ref="R5:R38" si="4">E5-G5</f>
        <v>277.73</v>
      </c>
      <c r="S5" s="28">
        <v>0</v>
      </c>
      <c r="T5" s="36">
        <f t="shared" ref="T5:T38" si="5">Q5-S5</f>
        <v>94.698986750000003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>
        <v>64.39</v>
      </c>
      <c r="I6" s="21"/>
      <c r="J6" s="21">
        <v>25</v>
      </c>
      <c r="K6" s="21">
        <v>7</v>
      </c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1603.65</v>
      </c>
      <c r="F39" s="36">
        <f>SUM(F4:F38)</f>
        <v>1522.73</v>
      </c>
      <c r="G39" s="36">
        <f>SUM(G4:G38)</f>
        <v>80.92</v>
      </c>
      <c r="H39" s="21"/>
      <c r="I39" s="21"/>
      <c r="J39" s="22"/>
      <c r="K39" s="22"/>
      <c r="L39" s="22"/>
      <c r="M39" s="22"/>
      <c r="N39" s="36">
        <f>SUM(N4:N38)</f>
        <v>2636.2402350000002</v>
      </c>
      <c r="O39" s="36">
        <f>SUM(O4:O38)</f>
        <v>659.06005875000005</v>
      </c>
      <c r="P39" s="36">
        <f>SUM(P4:P38)</f>
        <v>106.59110000000001</v>
      </c>
      <c r="Q39" s="36">
        <f>SUM(Q4:Q38)</f>
        <v>552.46895875000007</v>
      </c>
      <c r="R39" s="36"/>
      <c r="S39" s="36">
        <f>SUM(S4:S38)</f>
        <v>0</v>
      </c>
      <c r="T39" s="36">
        <f>SUM(T4:T38)</f>
        <v>552.46895875000007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F9C2F-B0FC-4360-BDC5-E6FC983915E4}">
  <dimension ref="A1:T39"/>
  <sheetViews>
    <sheetView tabSelected="1" zoomScaleNormal="100" workbookViewId="0">
      <selection activeCell="A2" sqref="A2:T2"/>
    </sheetView>
  </sheetViews>
  <sheetFormatPr defaultColWidth="9.7109375" defaultRowHeight="12.75" x14ac:dyDescent="0.2"/>
  <cols>
    <col min="1" max="1" width="4.7109375" style="2" customWidth="1"/>
    <col min="2" max="3" width="10.7109375" style="2" customWidth="1"/>
    <col min="4" max="4" width="10.140625" style="3" bestFit="1" customWidth="1"/>
    <col min="5" max="5" width="14.42578125" style="3" customWidth="1"/>
    <col min="6" max="6" width="14" style="1" customWidth="1"/>
    <col min="7" max="7" width="12.28515625" style="1" customWidth="1"/>
    <col min="8" max="8" width="8.42578125" style="1" customWidth="1"/>
    <col min="9" max="9" width="7.5703125" style="1" bestFit="1" customWidth="1"/>
    <col min="10" max="10" width="7.85546875" style="1" customWidth="1"/>
    <col min="11" max="11" width="7.140625" style="1" customWidth="1"/>
    <col min="12" max="12" width="5.7109375" style="1" hidden="1" customWidth="1"/>
    <col min="13" max="13" width="6.140625" style="1" hidden="1" customWidth="1"/>
    <col min="14" max="14" width="14.5703125" style="1" customWidth="1"/>
    <col min="15" max="15" width="13.42578125" style="1" customWidth="1"/>
    <col min="16" max="16" width="12.5703125" style="1" customWidth="1"/>
    <col min="17" max="17" width="13.7109375" style="1" customWidth="1"/>
    <col min="18" max="18" width="14.28515625" style="2" hidden="1" customWidth="1"/>
    <col min="19" max="19" width="13.7109375" style="24" customWidth="1"/>
    <col min="20" max="20" width="14.42578125" style="2" customWidth="1"/>
    <col min="21" max="16384" width="9.7109375" style="2"/>
  </cols>
  <sheetData>
    <row r="1" spans="1:20" ht="76.5" customHeight="1" x14ac:dyDescent="0.2">
      <c r="A1" s="45"/>
      <c r="B1" s="45"/>
      <c r="C1" s="45"/>
      <c r="D1" s="45"/>
      <c r="E1" s="45"/>
      <c r="F1" s="46" t="s">
        <v>20</v>
      </c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7" t="s">
        <v>22</v>
      </c>
      <c r="S1" s="48"/>
      <c r="T1" s="49"/>
    </row>
    <row r="2" spans="1:20" ht="15.75" x14ac:dyDescent="0.25">
      <c r="A2" s="50" t="s">
        <v>33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2"/>
    </row>
    <row r="3" spans="1:20" ht="18.75" x14ac:dyDescent="0.2">
      <c r="A3" s="25"/>
      <c r="B3" s="29" t="s">
        <v>21</v>
      </c>
      <c r="C3" s="29" t="s">
        <v>19</v>
      </c>
      <c r="D3" s="30" t="s">
        <v>7</v>
      </c>
      <c r="E3" s="31" t="s">
        <v>0</v>
      </c>
      <c r="F3" s="31" t="s">
        <v>13</v>
      </c>
      <c r="G3" s="31" t="s">
        <v>10</v>
      </c>
      <c r="H3" s="31" t="s">
        <v>1</v>
      </c>
      <c r="I3" s="31" t="s">
        <v>14</v>
      </c>
      <c r="J3" s="31" t="s">
        <v>2</v>
      </c>
      <c r="K3" s="31" t="s">
        <v>3</v>
      </c>
      <c r="L3" s="31" t="s">
        <v>15</v>
      </c>
      <c r="M3" s="31"/>
      <c r="N3" s="31" t="s">
        <v>4</v>
      </c>
      <c r="O3" s="31" t="s">
        <v>5</v>
      </c>
      <c r="P3" s="31" t="s">
        <v>6</v>
      </c>
      <c r="Q3" s="31" t="s">
        <v>8</v>
      </c>
      <c r="R3" s="32"/>
      <c r="S3" s="33" t="s">
        <v>11</v>
      </c>
      <c r="T3" s="33" t="s">
        <v>12</v>
      </c>
    </row>
    <row r="4" spans="1:20" x14ac:dyDescent="0.2">
      <c r="A4" s="26">
        <v>1</v>
      </c>
      <c r="B4" s="35">
        <v>46125</v>
      </c>
      <c r="C4" s="34">
        <v>46121</v>
      </c>
      <c r="D4" s="20">
        <v>33078</v>
      </c>
      <c r="E4" s="21">
        <v>1325.92</v>
      </c>
      <c r="F4" s="21">
        <v>1245</v>
      </c>
      <c r="G4" s="21">
        <v>80.92</v>
      </c>
      <c r="H4" s="21">
        <v>64.39</v>
      </c>
      <c r="I4" s="21"/>
      <c r="J4" s="21">
        <v>2</v>
      </c>
      <c r="K4" s="21"/>
      <c r="L4" s="21"/>
      <c r="M4" s="21"/>
      <c r="N4" s="36">
        <f>IF(L4="N",E4*H4%+E4,(E4+E4*H4%)-((E4+E4*H4%)*I4%))</f>
        <v>2179.6798880000001</v>
      </c>
      <c r="O4" s="36">
        <f>N4*J4%</f>
        <v>43.593597760000002</v>
      </c>
      <c r="P4" s="36">
        <f>R4*K4%</f>
        <v>0</v>
      </c>
      <c r="Q4" s="36">
        <f>O4-P4</f>
        <v>43.593597760000002</v>
      </c>
      <c r="R4" s="36">
        <f>E4-G4</f>
        <v>1245</v>
      </c>
      <c r="S4" s="28">
        <v>0</v>
      </c>
      <c r="T4" s="36">
        <f>Q4-S4</f>
        <v>43.593597760000002</v>
      </c>
    </row>
    <row r="5" spans="1:20" x14ac:dyDescent="0.2">
      <c r="A5" s="26">
        <v>2</v>
      </c>
      <c r="B5" s="34">
        <v>46125</v>
      </c>
      <c r="C5" s="34">
        <v>46125</v>
      </c>
      <c r="D5" s="37">
        <v>3293</v>
      </c>
      <c r="E5" s="20">
        <v>277.73</v>
      </c>
      <c r="F5" s="21">
        <v>277.73</v>
      </c>
      <c r="G5" s="21">
        <v>0</v>
      </c>
      <c r="H5" s="21">
        <v>64.39</v>
      </c>
      <c r="I5" s="21"/>
      <c r="J5" s="21">
        <v>2</v>
      </c>
      <c r="K5" s="21">
        <v>0</v>
      </c>
      <c r="L5" s="21"/>
      <c r="M5" s="21"/>
      <c r="N5" s="36">
        <f t="shared" ref="N5:N38" si="0">IF(L5="N",E5*H5%+E5,(E5+E5*H5%)-((E5+E5*H5%)*I5%))</f>
        <v>456.56034700000004</v>
      </c>
      <c r="O5" s="36">
        <f t="shared" ref="O5:O38" si="1">N5*J5%</f>
        <v>9.1312069400000002</v>
      </c>
      <c r="P5" s="36">
        <f t="shared" ref="P5:P38" si="2">R5*K5%</f>
        <v>0</v>
      </c>
      <c r="Q5" s="36">
        <f t="shared" ref="Q5:Q38" si="3">O5-P5</f>
        <v>9.1312069400000002</v>
      </c>
      <c r="R5" s="36">
        <f t="shared" ref="R5:R38" si="4">E5-G5</f>
        <v>277.73</v>
      </c>
      <c r="S5" s="28">
        <v>0</v>
      </c>
      <c r="T5" s="36">
        <f t="shared" ref="T5:T38" si="5">Q5-S5</f>
        <v>9.1312069400000002</v>
      </c>
    </row>
    <row r="6" spans="1:20" x14ac:dyDescent="0.2">
      <c r="A6" s="26">
        <v>3</v>
      </c>
      <c r="B6" s="34"/>
      <c r="C6" s="34"/>
      <c r="D6" s="20"/>
      <c r="E6" s="21"/>
      <c r="F6" s="21"/>
      <c r="G6" s="21"/>
      <c r="H6" s="21">
        <v>64.39</v>
      </c>
      <c r="I6" s="21"/>
      <c r="J6" s="21">
        <v>2</v>
      </c>
      <c r="K6" s="21"/>
      <c r="L6" s="21"/>
      <c r="M6" s="21"/>
      <c r="N6" s="36">
        <f t="shared" si="0"/>
        <v>0</v>
      </c>
      <c r="O6" s="36">
        <f t="shared" si="1"/>
        <v>0</v>
      </c>
      <c r="P6" s="36">
        <f t="shared" si="2"/>
        <v>0</v>
      </c>
      <c r="Q6" s="36">
        <f t="shared" si="3"/>
        <v>0</v>
      </c>
      <c r="R6" s="36">
        <f t="shared" si="4"/>
        <v>0</v>
      </c>
      <c r="S6" s="28">
        <v>0</v>
      </c>
      <c r="T6" s="36">
        <f t="shared" si="5"/>
        <v>0</v>
      </c>
    </row>
    <row r="7" spans="1:20" x14ac:dyDescent="0.2">
      <c r="A7" s="26">
        <v>4</v>
      </c>
      <c r="B7" s="34"/>
      <c r="C7" s="34"/>
      <c r="D7" s="20"/>
      <c r="E7" s="21"/>
      <c r="F7" s="21"/>
      <c r="G7" s="21"/>
      <c r="H7" s="21"/>
      <c r="I7" s="21"/>
      <c r="J7" s="21"/>
      <c r="K7" s="21"/>
      <c r="L7" s="21"/>
      <c r="M7" s="21"/>
      <c r="N7" s="36">
        <f t="shared" si="0"/>
        <v>0</v>
      </c>
      <c r="O7" s="36">
        <f t="shared" si="1"/>
        <v>0</v>
      </c>
      <c r="P7" s="36">
        <f t="shared" si="2"/>
        <v>0</v>
      </c>
      <c r="Q7" s="36">
        <f t="shared" si="3"/>
        <v>0</v>
      </c>
      <c r="R7" s="36">
        <f t="shared" si="4"/>
        <v>0</v>
      </c>
      <c r="S7" s="28">
        <v>0</v>
      </c>
      <c r="T7" s="36">
        <f t="shared" si="5"/>
        <v>0</v>
      </c>
    </row>
    <row r="8" spans="1:20" x14ac:dyDescent="0.2">
      <c r="A8" s="26">
        <v>5</v>
      </c>
      <c r="B8" s="34"/>
      <c r="C8" s="34"/>
      <c r="D8" s="20"/>
      <c r="E8" s="21"/>
      <c r="F8" s="21"/>
      <c r="G8" s="21"/>
      <c r="H8" s="21"/>
      <c r="I8" s="21"/>
      <c r="J8" s="21"/>
      <c r="K8" s="21"/>
      <c r="L8" s="21"/>
      <c r="M8" s="21"/>
      <c r="N8" s="36">
        <f t="shared" si="0"/>
        <v>0</v>
      </c>
      <c r="O8" s="36">
        <f t="shared" si="1"/>
        <v>0</v>
      </c>
      <c r="P8" s="36">
        <f t="shared" si="2"/>
        <v>0</v>
      </c>
      <c r="Q8" s="36">
        <f t="shared" si="3"/>
        <v>0</v>
      </c>
      <c r="R8" s="36">
        <f t="shared" si="4"/>
        <v>0</v>
      </c>
      <c r="S8" s="28">
        <v>0</v>
      </c>
      <c r="T8" s="36">
        <f t="shared" si="5"/>
        <v>0</v>
      </c>
    </row>
    <row r="9" spans="1:20" x14ac:dyDescent="0.2">
      <c r="A9" s="26">
        <v>6</v>
      </c>
      <c r="B9" s="34"/>
      <c r="C9" s="34"/>
      <c r="D9" s="20"/>
      <c r="E9" s="21"/>
      <c r="F9" s="21"/>
      <c r="G9" s="21"/>
      <c r="H9" s="21"/>
      <c r="I9" s="21"/>
      <c r="J9" s="21"/>
      <c r="K9" s="21"/>
      <c r="L9" s="21"/>
      <c r="M9" s="21"/>
      <c r="N9" s="36">
        <f t="shared" si="0"/>
        <v>0</v>
      </c>
      <c r="O9" s="36">
        <f t="shared" si="1"/>
        <v>0</v>
      </c>
      <c r="P9" s="36">
        <f t="shared" si="2"/>
        <v>0</v>
      </c>
      <c r="Q9" s="36">
        <f t="shared" si="3"/>
        <v>0</v>
      </c>
      <c r="R9" s="36">
        <f t="shared" si="4"/>
        <v>0</v>
      </c>
      <c r="S9" s="28">
        <v>0</v>
      </c>
      <c r="T9" s="36">
        <f t="shared" si="5"/>
        <v>0</v>
      </c>
    </row>
    <row r="10" spans="1:20" x14ac:dyDescent="0.2">
      <c r="A10" s="26">
        <v>7</v>
      </c>
      <c r="B10" s="34"/>
      <c r="C10" s="34"/>
      <c r="D10" s="20"/>
      <c r="E10" s="21"/>
      <c r="F10" s="21"/>
      <c r="G10" s="21"/>
      <c r="H10" s="21"/>
      <c r="I10" s="21"/>
      <c r="J10" s="21"/>
      <c r="K10" s="21"/>
      <c r="L10" s="21"/>
      <c r="M10" s="21"/>
      <c r="N10" s="36">
        <f t="shared" si="0"/>
        <v>0</v>
      </c>
      <c r="O10" s="36">
        <f t="shared" si="1"/>
        <v>0</v>
      </c>
      <c r="P10" s="36">
        <f t="shared" si="2"/>
        <v>0</v>
      </c>
      <c r="Q10" s="36">
        <f t="shared" si="3"/>
        <v>0</v>
      </c>
      <c r="R10" s="36">
        <f t="shared" si="4"/>
        <v>0</v>
      </c>
      <c r="S10" s="28">
        <v>0</v>
      </c>
      <c r="T10" s="36">
        <f t="shared" si="5"/>
        <v>0</v>
      </c>
    </row>
    <row r="11" spans="1:20" x14ac:dyDescent="0.2">
      <c r="A11" s="26">
        <v>8</v>
      </c>
      <c r="B11" s="34"/>
      <c r="C11" s="34"/>
      <c r="D11" s="20"/>
      <c r="E11" s="28"/>
      <c r="F11" s="28"/>
      <c r="G11" s="28"/>
      <c r="H11" s="21"/>
      <c r="I11" s="21"/>
      <c r="J11" s="21"/>
      <c r="K11" s="21"/>
      <c r="L11" s="21"/>
      <c r="M11" s="21"/>
      <c r="N11" s="36">
        <f t="shared" si="0"/>
        <v>0</v>
      </c>
      <c r="O11" s="36">
        <f t="shared" si="1"/>
        <v>0</v>
      </c>
      <c r="P11" s="36">
        <f t="shared" si="2"/>
        <v>0</v>
      </c>
      <c r="Q11" s="36">
        <f t="shared" si="3"/>
        <v>0</v>
      </c>
      <c r="R11" s="36">
        <f t="shared" si="4"/>
        <v>0</v>
      </c>
      <c r="S11" s="28">
        <v>0</v>
      </c>
      <c r="T11" s="36">
        <f t="shared" si="5"/>
        <v>0</v>
      </c>
    </row>
    <row r="12" spans="1:20" x14ac:dyDescent="0.2">
      <c r="A12" s="26">
        <v>9</v>
      </c>
      <c r="B12" s="34"/>
      <c r="C12" s="34"/>
      <c r="D12" s="20"/>
      <c r="E12" s="28"/>
      <c r="F12" s="28"/>
      <c r="G12" s="28"/>
      <c r="H12" s="21"/>
      <c r="I12" s="21"/>
      <c r="J12" s="21"/>
      <c r="K12" s="21"/>
      <c r="L12" s="21"/>
      <c r="M12" s="21"/>
      <c r="N12" s="36">
        <f t="shared" si="0"/>
        <v>0</v>
      </c>
      <c r="O12" s="36">
        <f t="shared" si="1"/>
        <v>0</v>
      </c>
      <c r="P12" s="36">
        <f t="shared" si="2"/>
        <v>0</v>
      </c>
      <c r="Q12" s="36">
        <f t="shared" si="3"/>
        <v>0</v>
      </c>
      <c r="R12" s="36">
        <f t="shared" si="4"/>
        <v>0</v>
      </c>
      <c r="S12" s="28">
        <v>0</v>
      </c>
      <c r="T12" s="36">
        <f t="shared" si="5"/>
        <v>0</v>
      </c>
    </row>
    <row r="13" spans="1:20" x14ac:dyDescent="0.2">
      <c r="A13" s="26">
        <v>10</v>
      </c>
      <c r="B13" s="34"/>
      <c r="C13" s="34"/>
      <c r="D13" s="20"/>
      <c r="E13" s="28"/>
      <c r="F13" s="28"/>
      <c r="G13" s="28"/>
      <c r="H13" s="21"/>
      <c r="I13" s="21"/>
      <c r="J13" s="21"/>
      <c r="K13" s="21"/>
      <c r="L13" s="21"/>
      <c r="M13" s="21"/>
      <c r="N13" s="36">
        <f t="shared" si="0"/>
        <v>0</v>
      </c>
      <c r="O13" s="36">
        <f t="shared" si="1"/>
        <v>0</v>
      </c>
      <c r="P13" s="36">
        <f t="shared" si="2"/>
        <v>0</v>
      </c>
      <c r="Q13" s="36">
        <f t="shared" si="3"/>
        <v>0</v>
      </c>
      <c r="R13" s="36">
        <f t="shared" si="4"/>
        <v>0</v>
      </c>
      <c r="S13" s="28">
        <v>0</v>
      </c>
      <c r="T13" s="36">
        <f t="shared" si="5"/>
        <v>0</v>
      </c>
    </row>
    <row r="14" spans="1:20" x14ac:dyDescent="0.2">
      <c r="A14" s="26">
        <v>11</v>
      </c>
      <c r="B14" s="34"/>
      <c r="C14" s="34"/>
      <c r="D14" s="20"/>
      <c r="E14" s="28"/>
      <c r="F14" s="28"/>
      <c r="G14" s="28"/>
      <c r="H14" s="21"/>
      <c r="I14" s="21"/>
      <c r="J14" s="21"/>
      <c r="K14" s="21"/>
      <c r="L14" s="21"/>
      <c r="M14" s="21"/>
      <c r="N14" s="36">
        <f t="shared" si="0"/>
        <v>0</v>
      </c>
      <c r="O14" s="36">
        <f t="shared" si="1"/>
        <v>0</v>
      </c>
      <c r="P14" s="36">
        <f t="shared" si="2"/>
        <v>0</v>
      </c>
      <c r="Q14" s="36">
        <f t="shared" si="3"/>
        <v>0</v>
      </c>
      <c r="R14" s="36">
        <f t="shared" si="4"/>
        <v>0</v>
      </c>
      <c r="S14" s="28">
        <v>0</v>
      </c>
      <c r="T14" s="36">
        <f t="shared" si="5"/>
        <v>0</v>
      </c>
    </row>
    <row r="15" spans="1:20" x14ac:dyDescent="0.2">
      <c r="A15" s="26">
        <v>12</v>
      </c>
      <c r="B15" s="34"/>
      <c r="C15" s="34"/>
      <c r="D15" s="20"/>
      <c r="E15" s="28"/>
      <c r="F15" s="28"/>
      <c r="G15" s="28"/>
      <c r="H15" s="21"/>
      <c r="I15" s="21"/>
      <c r="J15" s="21"/>
      <c r="K15" s="21"/>
      <c r="L15" s="21"/>
      <c r="M15" s="21"/>
      <c r="N15" s="36">
        <f t="shared" si="0"/>
        <v>0</v>
      </c>
      <c r="O15" s="36">
        <f t="shared" si="1"/>
        <v>0</v>
      </c>
      <c r="P15" s="36">
        <f t="shared" si="2"/>
        <v>0</v>
      </c>
      <c r="Q15" s="36">
        <f t="shared" si="3"/>
        <v>0</v>
      </c>
      <c r="R15" s="36">
        <f t="shared" si="4"/>
        <v>0</v>
      </c>
      <c r="S15" s="28">
        <v>0</v>
      </c>
      <c r="T15" s="36">
        <f t="shared" si="5"/>
        <v>0</v>
      </c>
    </row>
    <row r="16" spans="1:20" x14ac:dyDescent="0.2">
      <c r="A16" s="26">
        <v>13</v>
      </c>
      <c r="B16" s="34"/>
      <c r="C16" s="34"/>
      <c r="D16" s="20"/>
      <c r="E16" s="28"/>
      <c r="F16" s="28"/>
      <c r="G16" s="28"/>
      <c r="H16" s="21"/>
      <c r="I16" s="21"/>
      <c r="J16" s="21"/>
      <c r="K16" s="21"/>
      <c r="L16" s="21"/>
      <c r="M16" s="21"/>
      <c r="N16" s="36">
        <f t="shared" si="0"/>
        <v>0</v>
      </c>
      <c r="O16" s="36">
        <f t="shared" si="1"/>
        <v>0</v>
      </c>
      <c r="P16" s="36">
        <f t="shared" si="2"/>
        <v>0</v>
      </c>
      <c r="Q16" s="36">
        <f t="shared" si="3"/>
        <v>0</v>
      </c>
      <c r="R16" s="36">
        <f t="shared" si="4"/>
        <v>0</v>
      </c>
      <c r="S16" s="28">
        <v>0</v>
      </c>
      <c r="T16" s="36">
        <f t="shared" si="5"/>
        <v>0</v>
      </c>
    </row>
    <row r="17" spans="1:20" x14ac:dyDescent="0.2">
      <c r="A17" s="26">
        <v>14</v>
      </c>
      <c r="B17" s="34"/>
      <c r="C17" s="34"/>
      <c r="D17" s="20"/>
      <c r="E17" s="28"/>
      <c r="F17" s="28"/>
      <c r="G17" s="28"/>
      <c r="H17" s="21"/>
      <c r="I17" s="21"/>
      <c r="J17" s="21"/>
      <c r="K17" s="21"/>
      <c r="L17" s="21"/>
      <c r="M17" s="21"/>
      <c r="N17" s="36">
        <f t="shared" si="0"/>
        <v>0</v>
      </c>
      <c r="O17" s="36">
        <f t="shared" si="1"/>
        <v>0</v>
      </c>
      <c r="P17" s="36">
        <f t="shared" si="2"/>
        <v>0</v>
      </c>
      <c r="Q17" s="36">
        <f t="shared" si="3"/>
        <v>0</v>
      </c>
      <c r="R17" s="36">
        <f t="shared" si="4"/>
        <v>0</v>
      </c>
      <c r="S17" s="28">
        <v>0</v>
      </c>
      <c r="T17" s="36">
        <f t="shared" si="5"/>
        <v>0</v>
      </c>
    </row>
    <row r="18" spans="1:20" x14ac:dyDescent="0.2">
      <c r="A18" s="26">
        <v>15</v>
      </c>
      <c r="B18" s="34"/>
      <c r="C18" s="34"/>
      <c r="D18" s="20"/>
      <c r="E18" s="28"/>
      <c r="F18" s="28"/>
      <c r="G18" s="28"/>
      <c r="H18" s="21"/>
      <c r="I18" s="21"/>
      <c r="J18" s="21"/>
      <c r="K18" s="21"/>
      <c r="L18" s="21"/>
      <c r="M18" s="21"/>
      <c r="N18" s="36">
        <f t="shared" si="0"/>
        <v>0</v>
      </c>
      <c r="O18" s="36">
        <f t="shared" si="1"/>
        <v>0</v>
      </c>
      <c r="P18" s="36">
        <f t="shared" si="2"/>
        <v>0</v>
      </c>
      <c r="Q18" s="36">
        <f t="shared" si="3"/>
        <v>0</v>
      </c>
      <c r="R18" s="36">
        <f t="shared" si="4"/>
        <v>0</v>
      </c>
      <c r="S18" s="28">
        <v>0</v>
      </c>
      <c r="T18" s="36">
        <f t="shared" si="5"/>
        <v>0</v>
      </c>
    </row>
    <row r="19" spans="1:20" x14ac:dyDescent="0.2">
      <c r="A19" s="26">
        <v>16</v>
      </c>
      <c r="B19" s="34"/>
      <c r="C19" s="34"/>
      <c r="D19" s="20"/>
      <c r="E19" s="28"/>
      <c r="F19" s="28"/>
      <c r="G19" s="28"/>
      <c r="H19" s="21"/>
      <c r="I19" s="21"/>
      <c r="J19" s="21"/>
      <c r="K19" s="21"/>
      <c r="L19" s="21"/>
      <c r="M19" s="21"/>
      <c r="N19" s="36">
        <f t="shared" si="0"/>
        <v>0</v>
      </c>
      <c r="O19" s="36">
        <f t="shared" si="1"/>
        <v>0</v>
      </c>
      <c r="P19" s="36">
        <f t="shared" si="2"/>
        <v>0</v>
      </c>
      <c r="Q19" s="36">
        <f t="shared" si="3"/>
        <v>0</v>
      </c>
      <c r="R19" s="36">
        <f t="shared" si="4"/>
        <v>0</v>
      </c>
      <c r="S19" s="28">
        <v>0</v>
      </c>
      <c r="T19" s="36">
        <f t="shared" si="5"/>
        <v>0</v>
      </c>
    </row>
    <row r="20" spans="1:20" x14ac:dyDescent="0.2">
      <c r="A20" s="26">
        <v>17</v>
      </c>
      <c r="B20" s="34"/>
      <c r="C20" s="34"/>
      <c r="D20" s="20"/>
      <c r="E20" s="28"/>
      <c r="F20" s="28"/>
      <c r="G20" s="28"/>
      <c r="H20" s="21"/>
      <c r="I20" s="21"/>
      <c r="J20" s="21"/>
      <c r="K20" s="21"/>
      <c r="L20" s="21"/>
      <c r="M20" s="21"/>
      <c r="N20" s="36">
        <f t="shared" si="0"/>
        <v>0</v>
      </c>
      <c r="O20" s="36">
        <f t="shared" si="1"/>
        <v>0</v>
      </c>
      <c r="P20" s="36">
        <f t="shared" si="2"/>
        <v>0</v>
      </c>
      <c r="Q20" s="36">
        <f t="shared" si="3"/>
        <v>0</v>
      </c>
      <c r="R20" s="36">
        <f t="shared" si="4"/>
        <v>0</v>
      </c>
      <c r="S20" s="28">
        <v>0</v>
      </c>
      <c r="T20" s="36">
        <f t="shared" si="5"/>
        <v>0</v>
      </c>
    </row>
    <row r="21" spans="1:20" x14ac:dyDescent="0.2">
      <c r="A21" s="26">
        <v>18</v>
      </c>
      <c r="B21" s="34"/>
      <c r="C21" s="34"/>
      <c r="D21" s="20"/>
      <c r="E21" s="28"/>
      <c r="F21" s="28"/>
      <c r="G21" s="28"/>
      <c r="H21" s="21"/>
      <c r="I21" s="21"/>
      <c r="J21" s="21"/>
      <c r="K21" s="21"/>
      <c r="L21" s="21"/>
      <c r="M21" s="21"/>
      <c r="N21" s="36">
        <f t="shared" si="0"/>
        <v>0</v>
      </c>
      <c r="O21" s="36">
        <f t="shared" si="1"/>
        <v>0</v>
      </c>
      <c r="P21" s="36">
        <f t="shared" si="2"/>
        <v>0</v>
      </c>
      <c r="Q21" s="36">
        <f t="shared" si="3"/>
        <v>0</v>
      </c>
      <c r="R21" s="36">
        <f t="shared" si="4"/>
        <v>0</v>
      </c>
      <c r="S21" s="28">
        <v>0</v>
      </c>
      <c r="T21" s="36">
        <f t="shared" si="5"/>
        <v>0</v>
      </c>
    </row>
    <row r="22" spans="1:20" x14ac:dyDescent="0.2">
      <c r="A22" s="26">
        <v>19</v>
      </c>
      <c r="B22" s="34"/>
      <c r="C22" s="34"/>
      <c r="D22" s="20"/>
      <c r="E22" s="28"/>
      <c r="F22" s="28"/>
      <c r="G22" s="28"/>
      <c r="H22" s="21"/>
      <c r="I22" s="21"/>
      <c r="J22" s="21"/>
      <c r="K22" s="21"/>
      <c r="L22" s="21"/>
      <c r="M22" s="21"/>
      <c r="N22" s="36">
        <f t="shared" si="0"/>
        <v>0</v>
      </c>
      <c r="O22" s="36">
        <f t="shared" si="1"/>
        <v>0</v>
      </c>
      <c r="P22" s="36">
        <f t="shared" si="2"/>
        <v>0</v>
      </c>
      <c r="Q22" s="36">
        <f t="shared" si="3"/>
        <v>0</v>
      </c>
      <c r="R22" s="36">
        <f t="shared" si="4"/>
        <v>0</v>
      </c>
      <c r="S22" s="28">
        <v>0</v>
      </c>
      <c r="T22" s="36">
        <f t="shared" si="5"/>
        <v>0</v>
      </c>
    </row>
    <row r="23" spans="1:20" x14ac:dyDescent="0.2">
      <c r="A23" s="26">
        <v>20</v>
      </c>
      <c r="B23" s="34"/>
      <c r="C23" s="34"/>
      <c r="D23" s="20"/>
      <c r="E23" s="28"/>
      <c r="F23" s="28"/>
      <c r="G23" s="28"/>
      <c r="H23" s="21"/>
      <c r="I23" s="21"/>
      <c r="J23" s="21"/>
      <c r="K23" s="21"/>
      <c r="L23" s="21"/>
      <c r="M23" s="21"/>
      <c r="N23" s="36">
        <f t="shared" si="0"/>
        <v>0</v>
      </c>
      <c r="O23" s="36">
        <f t="shared" si="1"/>
        <v>0</v>
      </c>
      <c r="P23" s="36">
        <f t="shared" si="2"/>
        <v>0</v>
      </c>
      <c r="Q23" s="36">
        <f t="shared" si="3"/>
        <v>0</v>
      </c>
      <c r="R23" s="36">
        <f t="shared" si="4"/>
        <v>0</v>
      </c>
      <c r="S23" s="28">
        <v>0</v>
      </c>
      <c r="T23" s="36">
        <f t="shared" si="5"/>
        <v>0</v>
      </c>
    </row>
    <row r="24" spans="1:20" x14ac:dyDescent="0.2">
      <c r="A24" s="26">
        <v>21</v>
      </c>
      <c r="B24" s="34"/>
      <c r="C24" s="34"/>
      <c r="D24" s="20"/>
      <c r="E24" s="28"/>
      <c r="F24" s="28"/>
      <c r="G24" s="28"/>
      <c r="H24" s="21"/>
      <c r="I24" s="21"/>
      <c r="J24" s="21"/>
      <c r="K24" s="21"/>
      <c r="L24" s="21"/>
      <c r="M24" s="21"/>
      <c r="N24" s="36">
        <f t="shared" si="0"/>
        <v>0</v>
      </c>
      <c r="O24" s="36">
        <f t="shared" si="1"/>
        <v>0</v>
      </c>
      <c r="P24" s="36">
        <f t="shared" si="2"/>
        <v>0</v>
      </c>
      <c r="Q24" s="36">
        <f t="shared" si="3"/>
        <v>0</v>
      </c>
      <c r="R24" s="36">
        <f t="shared" si="4"/>
        <v>0</v>
      </c>
      <c r="S24" s="28">
        <v>0</v>
      </c>
      <c r="T24" s="36">
        <f t="shared" si="5"/>
        <v>0</v>
      </c>
    </row>
    <row r="25" spans="1:20" x14ac:dyDescent="0.2">
      <c r="A25" s="26">
        <v>22</v>
      </c>
      <c r="B25" s="34"/>
      <c r="C25" s="34"/>
      <c r="D25" s="20"/>
      <c r="E25" s="28"/>
      <c r="F25" s="28"/>
      <c r="G25" s="28"/>
      <c r="H25" s="21"/>
      <c r="I25" s="21"/>
      <c r="J25" s="21"/>
      <c r="K25" s="21"/>
      <c r="L25" s="21"/>
      <c r="M25" s="21"/>
      <c r="N25" s="36">
        <f t="shared" si="0"/>
        <v>0</v>
      </c>
      <c r="O25" s="36">
        <f t="shared" si="1"/>
        <v>0</v>
      </c>
      <c r="P25" s="36">
        <f t="shared" si="2"/>
        <v>0</v>
      </c>
      <c r="Q25" s="36">
        <f t="shared" si="3"/>
        <v>0</v>
      </c>
      <c r="R25" s="36">
        <f t="shared" si="4"/>
        <v>0</v>
      </c>
      <c r="S25" s="28">
        <v>0</v>
      </c>
      <c r="T25" s="36">
        <f t="shared" si="5"/>
        <v>0</v>
      </c>
    </row>
    <row r="26" spans="1:20" x14ac:dyDescent="0.2">
      <c r="A26" s="26">
        <v>23</v>
      </c>
      <c r="B26" s="34"/>
      <c r="C26" s="34"/>
      <c r="D26" s="20"/>
      <c r="E26" s="28"/>
      <c r="F26" s="28"/>
      <c r="G26" s="28"/>
      <c r="H26" s="21"/>
      <c r="I26" s="21"/>
      <c r="J26" s="21"/>
      <c r="K26" s="21"/>
      <c r="L26" s="21"/>
      <c r="M26" s="21"/>
      <c r="N26" s="36">
        <f t="shared" si="0"/>
        <v>0</v>
      </c>
      <c r="O26" s="36">
        <f t="shared" si="1"/>
        <v>0</v>
      </c>
      <c r="P26" s="36">
        <f t="shared" si="2"/>
        <v>0</v>
      </c>
      <c r="Q26" s="36">
        <f t="shared" si="3"/>
        <v>0</v>
      </c>
      <c r="R26" s="36">
        <f t="shared" si="4"/>
        <v>0</v>
      </c>
      <c r="S26" s="28">
        <v>0</v>
      </c>
      <c r="T26" s="36">
        <f t="shared" si="5"/>
        <v>0</v>
      </c>
    </row>
    <row r="27" spans="1:20" x14ac:dyDescent="0.2">
      <c r="A27" s="26">
        <v>24</v>
      </c>
      <c r="B27" s="34"/>
      <c r="C27" s="34"/>
      <c r="D27" s="20"/>
      <c r="E27" s="28"/>
      <c r="F27" s="28"/>
      <c r="G27" s="28"/>
      <c r="H27" s="21"/>
      <c r="I27" s="21"/>
      <c r="J27" s="21"/>
      <c r="K27" s="21"/>
      <c r="L27" s="21"/>
      <c r="M27" s="21"/>
      <c r="N27" s="36">
        <f t="shared" si="0"/>
        <v>0</v>
      </c>
      <c r="O27" s="36">
        <f t="shared" si="1"/>
        <v>0</v>
      </c>
      <c r="P27" s="36">
        <f t="shared" si="2"/>
        <v>0</v>
      </c>
      <c r="Q27" s="36">
        <f t="shared" si="3"/>
        <v>0</v>
      </c>
      <c r="R27" s="36">
        <f t="shared" si="4"/>
        <v>0</v>
      </c>
      <c r="S27" s="28">
        <v>0</v>
      </c>
      <c r="T27" s="36">
        <f t="shared" si="5"/>
        <v>0</v>
      </c>
    </row>
    <row r="28" spans="1:20" x14ac:dyDescent="0.2">
      <c r="A28" s="26">
        <v>25</v>
      </c>
      <c r="B28" s="34"/>
      <c r="C28" s="34"/>
      <c r="D28" s="20"/>
      <c r="E28" s="28"/>
      <c r="F28" s="28"/>
      <c r="G28" s="28"/>
      <c r="H28" s="21"/>
      <c r="I28" s="21"/>
      <c r="J28" s="21"/>
      <c r="K28" s="21"/>
      <c r="L28" s="21"/>
      <c r="M28" s="21"/>
      <c r="N28" s="36">
        <f t="shared" si="0"/>
        <v>0</v>
      </c>
      <c r="O28" s="36">
        <f t="shared" si="1"/>
        <v>0</v>
      </c>
      <c r="P28" s="36">
        <f t="shared" si="2"/>
        <v>0</v>
      </c>
      <c r="Q28" s="36">
        <f t="shared" si="3"/>
        <v>0</v>
      </c>
      <c r="R28" s="36">
        <f t="shared" si="4"/>
        <v>0</v>
      </c>
      <c r="S28" s="28">
        <v>0</v>
      </c>
      <c r="T28" s="36">
        <f t="shared" si="5"/>
        <v>0</v>
      </c>
    </row>
    <row r="29" spans="1:20" x14ac:dyDescent="0.2">
      <c r="A29" s="26">
        <v>26</v>
      </c>
      <c r="B29" s="34"/>
      <c r="C29" s="34"/>
      <c r="D29" s="20"/>
      <c r="E29" s="28"/>
      <c r="F29" s="28"/>
      <c r="G29" s="28"/>
      <c r="H29" s="21"/>
      <c r="I29" s="21"/>
      <c r="J29" s="21"/>
      <c r="K29" s="21"/>
      <c r="L29" s="21"/>
      <c r="M29" s="21"/>
      <c r="N29" s="36">
        <f t="shared" si="0"/>
        <v>0</v>
      </c>
      <c r="O29" s="36">
        <f t="shared" si="1"/>
        <v>0</v>
      </c>
      <c r="P29" s="36">
        <f t="shared" si="2"/>
        <v>0</v>
      </c>
      <c r="Q29" s="36">
        <f t="shared" si="3"/>
        <v>0</v>
      </c>
      <c r="R29" s="36">
        <f t="shared" si="4"/>
        <v>0</v>
      </c>
      <c r="S29" s="28">
        <v>0</v>
      </c>
      <c r="T29" s="36">
        <f t="shared" si="5"/>
        <v>0</v>
      </c>
    </row>
    <row r="30" spans="1:20" x14ac:dyDescent="0.2">
      <c r="A30" s="26">
        <v>27</v>
      </c>
      <c r="B30" s="34"/>
      <c r="C30" s="34"/>
      <c r="D30" s="20"/>
      <c r="E30" s="28"/>
      <c r="F30" s="28"/>
      <c r="G30" s="28"/>
      <c r="H30" s="21"/>
      <c r="I30" s="21"/>
      <c r="J30" s="21"/>
      <c r="K30" s="21"/>
      <c r="L30" s="21"/>
      <c r="M30" s="21"/>
      <c r="N30" s="36">
        <f t="shared" si="0"/>
        <v>0</v>
      </c>
      <c r="O30" s="36">
        <f t="shared" si="1"/>
        <v>0</v>
      </c>
      <c r="P30" s="36">
        <f t="shared" si="2"/>
        <v>0</v>
      </c>
      <c r="Q30" s="36">
        <f t="shared" si="3"/>
        <v>0</v>
      </c>
      <c r="R30" s="36">
        <f t="shared" si="4"/>
        <v>0</v>
      </c>
      <c r="S30" s="28">
        <v>0</v>
      </c>
      <c r="T30" s="36">
        <f t="shared" si="5"/>
        <v>0</v>
      </c>
    </row>
    <row r="31" spans="1:20" x14ac:dyDescent="0.2">
      <c r="A31" s="26">
        <v>28</v>
      </c>
      <c r="B31" s="34"/>
      <c r="C31" s="34"/>
      <c r="D31" s="20"/>
      <c r="E31" s="28"/>
      <c r="F31" s="28"/>
      <c r="G31" s="28"/>
      <c r="H31" s="21"/>
      <c r="I31" s="21"/>
      <c r="J31" s="21"/>
      <c r="K31" s="21"/>
      <c r="L31" s="21"/>
      <c r="M31" s="21"/>
      <c r="N31" s="36">
        <f t="shared" si="0"/>
        <v>0</v>
      </c>
      <c r="O31" s="36">
        <f t="shared" si="1"/>
        <v>0</v>
      </c>
      <c r="P31" s="36">
        <f t="shared" si="2"/>
        <v>0</v>
      </c>
      <c r="Q31" s="36">
        <f t="shared" si="3"/>
        <v>0</v>
      </c>
      <c r="R31" s="36">
        <f t="shared" si="4"/>
        <v>0</v>
      </c>
      <c r="S31" s="28">
        <v>0</v>
      </c>
      <c r="T31" s="36">
        <f t="shared" si="5"/>
        <v>0</v>
      </c>
    </row>
    <row r="32" spans="1:20" x14ac:dyDescent="0.2">
      <c r="A32" s="26">
        <v>29</v>
      </c>
      <c r="B32" s="34"/>
      <c r="C32" s="34"/>
      <c r="D32" s="20"/>
      <c r="E32" s="28"/>
      <c r="F32" s="28"/>
      <c r="G32" s="28"/>
      <c r="H32" s="21"/>
      <c r="I32" s="21"/>
      <c r="J32" s="21"/>
      <c r="K32" s="21"/>
      <c r="L32" s="21"/>
      <c r="M32" s="21"/>
      <c r="N32" s="36">
        <f t="shared" si="0"/>
        <v>0</v>
      </c>
      <c r="O32" s="36">
        <f t="shared" si="1"/>
        <v>0</v>
      </c>
      <c r="P32" s="36">
        <f t="shared" si="2"/>
        <v>0</v>
      </c>
      <c r="Q32" s="36">
        <f t="shared" si="3"/>
        <v>0</v>
      </c>
      <c r="R32" s="36">
        <f t="shared" si="4"/>
        <v>0</v>
      </c>
      <c r="S32" s="28">
        <v>0</v>
      </c>
      <c r="T32" s="36">
        <f t="shared" si="5"/>
        <v>0</v>
      </c>
    </row>
    <row r="33" spans="1:20" x14ac:dyDescent="0.2">
      <c r="A33" s="26">
        <v>30</v>
      </c>
      <c r="B33" s="34"/>
      <c r="C33" s="34"/>
      <c r="D33" s="20"/>
      <c r="E33" s="28"/>
      <c r="F33" s="28"/>
      <c r="G33" s="28"/>
      <c r="H33" s="21"/>
      <c r="I33" s="21"/>
      <c r="J33" s="21"/>
      <c r="K33" s="21"/>
      <c r="L33" s="21"/>
      <c r="M33" s="21"/>
      <c r="N33" s="36">
        <f t="shared" si="0"/>
        <v>0</v>
      </c>
      <c r="O33" s="36">
        <f t="shared" si="1"/>
        <v>0</v>
      </c>
      <c r="P33" s="36">
        <f t="shared" si="2"/>
        <v>0</v>
      </c>
      <c r="Q33" s="36">
        <f t="shared" si="3"/>
        <v>0</v>
      </c>
      <c r="R33" s="36">
        <f t="shared" si="4"/>
        <v>0</v>
      </c>
      <c r="S33" s="28">
        <v>0</v>
      </c>
      <c r="T33" s="36">
        <f t="shared" si="5"/>
        <v>0</v>
      </c>
    </row>
    <row r="34" spans="1:20" x14ac:dyDescent="0.2">
      <c r="A34" s="26">
        <v>31</v>
      </c>
      <c r="B34" s="34"/>
      <c r="C34" s="34"/>
      <c r="D34" s="20"/>
      <c r="E34" s="28"/>
      <c r="F34" s="28"/>
      <c r="G34" s="28"/>
      <c r="H34" s="21"/>
      <c r="I34" s="21"/>
      <c r="J34" s="21"/>
      <c r="K34" s="21"/>
      <c r="L34" s="21"/>
      <c r="M34" s="21"/>
      <c r="N34" s="36">
        <f t="shared" si="0"/>
        <v>0</v>
      </c>
      <c r="O34" s="36">
        <f t="shared" si="1"/>
        <v>0</v>
      </c>
      <c r="P34" s="36">
        <f t="shared" si="2"/>
        <v>0</v>
      </c>
      <c r="Q34" s="36">
        <f t="shared" si="3"/>
        <v>0</v>
      </c>
      <c r="R34" s="36">
        <f t="shared" si="4"/>
        <v>0</v>
      </c>
      <c r="S34" s="28">
        <v>0</v>
      </c>
      <c r="T34" s="36">
        <f t="shared" si="5"/>
        <v>0</v>
      </c>
    </row>
    <row r="35" spans="1:20" x14ac:dyDescent="0.2">
      <c r="A35" s="26">
        <v>32</v>
      </c>
      <c r="B35" s="34"/>
      <c r="C35" s="34"/>
      <c r="D35" s="20"/>
      <c r="E35" s="28"/>
      <c r="F35" s="28"/>
      <c r="G35" s="28"/>
      <c r="H35" s="21"/>
      <c r="I35" s="21"/>
      <c r="J35" s="21"/>
      <c r="K35" s="21"/>
      <c r="L35" s="21"/>
      <c r="M35" s="21"/>
      <c r="N35" s="36">
        <f t="shared" si="0"/>
        <v>0</v>
      </c>
      <c r="O35" s="36">
        <f t="shared" si="1"/>
        <v>0</v>
      </c>
      <c r="P35" s="36">
        <f t="shared" si="2"/>
        <v>0</v>
      </c>
      <c r="Q35" s="36">
        <f t="shared" si="3"/>
        <v>0</v>
      </c>
      <c r="R35" s="36">
        <f t="shared" si="4"/>
        <v>0</v>
      </c>
      <c r="S35" s="28">
        <v>0</v>
      </c>
      <c r="T35" s="36">
        <f t="shared" si="5"/>
        <v>0</v>
      </c>
    </row>
    <row r="36" spans="1:20" x14ac:dyDescent="0.2">
      <c r="A36" s="26">
        <v>33</v>
      </c>
      <c r="B36" s="34"/>
      <c r="C36" s="34"/>
      <c r="D36" s="20"/>
      <c r="E36" s="28"/>
      <c r="F36" s="28"/>
      <c r="G36" s="28"/>
      <c r="H36" s="21"/>
      <c r="I36" s="21"/>
      <c r="J36" s="21"/>
      <c r="K36" s="21"/>
      <c r="L36" s="21"/>
      <c r="M36" s="21"/>
      <c r="N36" s="36">
        <f t="shared" si="0"/>
        <v>0</v>
      </c>
      <c r="O36" s="36">
        <f t="shared" si="1"/>
        <v>0</v>
      </c>
      <c r="P36" s="36">
        <f t="shared" si="2"/>
        <v>0</v>
      </c>
      <c r="Q36" s="36">
        <f t="shared" si="3"/>
        <v>0</v>
      </c>
      <c r="R36" s="36">
        <f t="shared" si="4"/>
        <v>0</v>
      </c>
      <c r="S36" s="28">
        <v>0</v>
      </c>
      <c r="T36" s="36">
        <f t="shared" si="5"/>
        <v>0</v>
      </c>
    </row>
    <row r="37" spans="1:20" x14ac:dyDescent="0.2">
      <c r="A37" s="26">
        <v>34</v>
      </c>
      <c r="B37" s="34"/>
      <c r="C37" s="34"/>
      <c r="D37" s="20"/>
      <c r="E37" s="28"/>
      <c r="F37" s="28"/>
      <c r="G37" s="28"/>
      <c r="H37" s="21"/>
      <c r="I37" s="21"/>
      <c r="J37" s="21"/>
      <c r="K37" s="21"/>
      <c r="L37" s="21"/>
      <c r="M37" s="21"/>
      <c r="N37" s="36">
        <f t="shared" si="0"/>
        <v>0</v>
      </c>
      <c r="O37" s="36">
        <f t="shared" si="1"/>
        <v>0</v>
      </c>
      <c r="P37" s="36">
        <f t="shared" si="2"/>
        <v>0</v>
      </c>
      <c r="Q37" s="36">
        <f t="shared" si="3"/>
        <v>0</v>
      </c>
      <c r="R37" s="36">
        <f t="shared" si="4"/>
        <v>0</v>
      </c>
      <c r="S37" s="28">
        <v>0</v>
      </c>
      <c r="T37" s="36">
        <f t="shared" si="5"/>
        <v>0</v>
      </c>
    </row>
    <row r="38" spans="1:20" x14ac:dyDescent="0.2">
      <c r="A38" s="26">
        <v>35</v>
      </c>
      <c r="B38" s="34"/>
      <c r="C38" s="34"/>
      <c r="D38" s="20"/>
      <c r="E38" s="28"/>
      <c r="F38" s="28"/>
      <c r="G38" s="28"/>
      <c r="H38" s="21"/>
      <c r="I38" s="21"/>
      <c r="J38" s="21"/>
      <c r="K38" s="21"/>
      <c r="L38" s="21"/>
      <c r="M38" s="21"/>
      <c r="N38" s="36">
        <f t="shared" si="0"/>
        <v>0</v>
      </c>
      <c r="O38" s="36">
        <f t="shared" si="1"/>
        <v>0</v>
      </c>
      <c r="P38" s="36">
        <f t="shared" si="2"/>
        <v>0</v>
      </c>
      <c r="Q38" s="36">
        <f t="shared" si="3"/>
        <v>0</v>
      </c>
      <c r="R38" s="36">
        <f t="shared" si="4"/>
        <v>0</v>
      </c>
      <c r="S38" s="28">
        <v>0</v>
      </c>
      <c r="T38" s="36">
        <f t="shared" si="5"/>
        <v>0</v>
      </c>
    </row>
    <row r="39" spans="1:20" x14ac:dyDescent="0.2">
      <c r="A39" s="27"/>
      <c r="B39" s="27"/>
      <c r="C39" s="27"/>
      <c r="D39" s="23"/>
      <c r="E39" s="36">
        <f>SUM(E4:E38)</f>
        <v>1603.65</v>
      </c>
      <c r="F39" s="36">
        <f>SUM(F4:F38)</f>
        <v>1522.73</v>
      </c>
      <c r="G39" s="36">
        <f>SUM(G4:G38)</f>
        <v>80.92</v>
      </c>
      <c r="H39" s="21"/>
      <c r="I39" s="21"/>
      <c r="J39" s="22"/>
      <c r="K39" s="22"/>
      <c r="L39" s="22"/>
      <c r="M39" s="22"/>
      <c r="N39" s="36">
        <f>SUM(N4:N38)</f>
        <v>2636.2402350000002</v>
      </c>
      <c r="O39" s="36">
        <f>SUM(O4:O38)</f>
        <v>52.7248047</v>
      </c>
      <c r="P39" s="36">
        <f>SUM(P4:P38)</f>
        <v>0</v>
      </c>
      <c r="Q39" s="36">
        <f>SUM(Q4:Q38)</f>
        <v>52.7248047</v>
      </c>
      <c r="R39" s="36"/>
      <c r="S39" s="36">
        <f>SUM(S4:S38)</f>
        <v>0</v>
      </c>
      <c r="T39" s="36">
        <f>SUM(T4:T38)</f>
        <v>52.7248047</v>
      </c>
    </row>
  </sheetData>
  <sheetProtection password="DC26" sheet="1" formatCells="0" formatColumns="0" insertRows="0" deleteRows="0"/>
  <mergeCells count="4">
    <mergeCell ref="A1:E1"/>
    <mergeCell ref="F1:Q1"/>
    <mergeCell ref="R1:T1"/>
    <mergeCell ref="A2:T2"/>
  </mergeCells>
  <pageMargins left="0.31496062992125984" right="0.23622047244094491" top="0.78740157480314965" bottom="0.78740157480314965" header="0.31496062992125984" footer="0.31496062992125984"/>
  <pageSetup paperSize="9" scale="7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01 (2)</vt:lpstr>
      <vt:lpstr>02-2019</vt:lpstr>
      <vt:lpstr>05-2019</vt:lpstr>
      <vt:lpstr>08-2019</vt:lpstr>
      <vt:lpstr>09-2019</vt:lpstr>
      <vt:lpstr>10-2019</vt:lpstr>
      <vt:lpstr>10-2020</vt:lpstr>
      <vt:lpstr>01-2021</vt:lpstr>
      <vt:lpstr>02-2022</vt:lpstr>
      <vt:lpstr>08-2025</vt:lpstr>
      <vt:lpstr>12-2025</vt:lpstr>
      <vt:lpstr>12-2025 FCP</vt:lpstr>
      <vt:lpstr>04-2026</vt:lpstr>
      <vt:lpstr>04-2026 FCP </vt:lpstr>
      <vt:lpstr>'01 (2)'!Area_de_impressao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Rodrigo</cp:lastModifiedBy>
  <cp:lastPrinted>2026-04-27T18:33:12Z</cp:lastPrinted>
  <dcterms:created xsi:type="dcterms:W3CDTF">2006-03-21T12:03:09Z</dcterms:created>
  <dcterms:modified xsi:type="dcterms:W3CDTF">2026-08-20T18:16:14Z</dcterms:modified>
</cp:coreProperties>
</file>